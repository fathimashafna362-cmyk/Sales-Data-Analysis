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fb1\AC\Temp\"/>
    </mc:Choice>
  </mc:AlternateContent>
  <xr:revisionPtr revIDLastSave="0" documentId="8_{6929BABF-AF10-7440-AE8C-0D0F81E8896B}" xr6:coauthVersionLast="47" xr6:coauthVersionMax="47" xr10:uidLastSave="{00000000-0000-0000-0000-000000000000}"/>
  <bookViews>
    <workbookView xWindow="-60" yWindow="-60" windowWidth="15480" windowHeight="11640" activeTab="2" xr2:uid="{9F1C0C8E-E478-4D9D-A088-C520570356C2}"/>
  </bookViews>
  <sheets>
    <sheet name="cleaned data " sheetId="6" r:id="rId1"/>
    <sheet name="raw data" sheetId="1" r:id="rId2"/>
    <sheet name="Sheet1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 a="1"/>
  <c r="C24" i="2"/>
  <c r="E24" i="2"/>
  <c r="E25" i="2"/>
  <c r="E26" i="2"/>
  <c r="E27" i="2"/>
  <c r="E28" i="2"/>
  <c r="E29" i="2"/>
  <c r="E30" i="2"/>
  <c r="E31" i="2"/>
  <c r="E32" i="2"/>
  <c r="E33" i="2"/>
  <c r="E34" i="2"/>
  <c r="E35" i="2"/>
  <c r="C63" i="2" a="1"/>
  <c r="C63" i="2"/>
  <c r="E63" i="2"/>
  <c r="E64" i="2"/>
  <c r="E65" i="2"/>
  <c r="E66" i="2"/>
  <c r="E67" i="2"/>
  <c r="E68" i="2"/>
  <c r="F71" i="2"/>
  <c r="F70" i="2"/>
  <c r="E71" i="2"/>
  <c r="B63" i="2" a="1"/>
  <c r="B63" i="2"/>
  <c r="E47" i="2" a="1"/>
  <c r="E47" i="2"/>
  <c r="E48" i="2" a="1"/>
  <c r="E48" i="2"/>
  <c r="E49" i="2" a="1"/>
  <c r="E50" i="2" a="1"/>
  <c r="E51" i="2" a="1"/>
  <c r="E52" i="2" a="1"/>
  <c r="E49" i="2"/>
  <c r="E50" i="2"/>
  <c r="E51" i="2"/>
  <c r="E52" i="2"/>
  <c r="F61" i="2"/>
  <c r="F60" i="2"/>
  <c r="B47" i="2" a="1"/>
  <c r="B47" i="2"/>
  <c r="E53" i="2" a="1"/>
  <c r="E53" i="2"/>
  <c r="E54" i="2" a="1"/>
  <c r="E54" i="2"/>
  <c r="E55" i="2" a="1"/>
  <c r="E55" i="2"/>
  <c r="E56" i="2" a="1"/>
  <c r="E56" i="2"/>
  <c r="E57" i="2" a="1"/>
  <c r="E57" i="2"/>
  <c r="E58" i="2" a="1"/>
  <c r="E58" i="2"/>
  <c r="B40" i="2" a="1"/>
  <c r="B40" i="2"/>
  <c r="C40" i="2" a="1"/>
  <c r="D41" i="2"/>
  <c r="D42" i="2"/>
  <c r="D43" i="2"/>
  <c r="D44" i="2"/>
  <c r="C40" i="2"/>
  <c r="D40" i="2"/>
  <c r="F38" i="2"/>
  <c r="F37" i="2"/>
  <c r="B24" i="2" a="1"/>
  <c r="B24" i="2"/>
  <c r="A20" i="2" a="1"/>
  <c r="A20" i="2"/>
  <c r="E22" i="2"/>
  <c r="E21" i="2"/>
  <c r="E20" i="2"/>
  <c r="A5" i="2" a="1"/>
  <c r="A5" i="2"/>
  <c r="H73" i="6"/>
  <c r="K73" i="6"/>
  <c r="H74" i="6"/>
  <c r="K74" i="6"/>
  <c r="H75" i="6"/>
  <c r="K75" i="6"/>
  <c r="H76" i="6"/>
  <c r="K76" i="6"/>
  <c r="H77" i="6"/>
  <c r="K77" i="6"/>
  <c r="H78" i="6"/>
  <c r="K78" i="6"/>
  <c r="H79" i="6"/>
  <c r="K79" i="6"/>
  <c r="H80" i="6"/>
  <c r="K80" i="6"/>
  <c r="H81" i="6"/>
  <c r="K81" i="6"/>
  <c r="H82" i="6"/>
  <c r="K82" i="6"/>
  <c r="H83" i="6"/>
  <c r="K83" i="6"/>
  <c r="H84" i="6"/>
  <c r="K84" i="6"/>
  <c r="H85" i="6"/>
  <c r="K85" i="6"/>
  <c r="H86" i="6"/>
  <c r="K86" i="6"/>
  <c r="H87" i="6"/>
  <c r="K87" i="6"/>
  <c r="H88" i="6"/>
  <c r="K88" i="6"/>
  <c r="H89" i="6"/>
  <c r="K89" i="6"/>
  <c r="H90" i="6"/>
  <c r="K90" i="6"/>
  <c r="H91" i="6"/>
  <c r="K91" i="6"/>
  <c r="H92" i="6"/>
  <c r="K92" i="6"/>
  <c r="H93" i="6"/>
  <c r="K93" i="6"/>
  <c r="H94" i="6"/>
  <c r="K94" i="6"/>
  <c r="H95" i="6"/>
  <c r="K95" i="6"/>
  <c r="H96" i="6"/>
  <c r="K96" i="6"/>
  <c r="H97" i="6"/>
  <c r="K97" i="6"/>
  <c r="H98" i="6"/>
  <c r="K98" i="6"/>
  <c r="H99" i="6"/>
  <c r="K99" i="6"/>
  <c r="H100" i="6"/>
  <c r="K100" i="6"/>
  <c r="H101" i="6"/>
  <c r="K101" i="6"/>
  <c r="H102" i="6"/>
  <c r="K102" i="6"/>
  <c r="H103" i="6"/>
  <c r="K103" i="6"/>
  <c r="H104" i="6"/>
  <c r="K104" i="6"/>
  <c r="H105" i="6"/>
  <c r="K105" i="6"/>
  <c r="H106" i="6"/>
  <c r="K106" i="6"/>
  <c r="H107" i="6"/>
  <c r="K107" i="6"/>
  <c r="H108" i="6"/>
  <c r="K108" i="6"/>
  <c r="H109" i="6"/>
  <c r="K109" i="6"/>
  <c r="H110" i="6"/>
  <c r="K110" i="6"/>
  <c r="H111" i="6"/>
  <c r="K111" i="6"/>
  <c r="H112" i="6"/>
  <c r="K112" i="6"/>
  <c r="H113" i="6"/>
  <c r="K113" i="6"/>
  <c r="H114" i="6"/>
  <c r="K114" i="6"/>
  <c r="H115" i="6"/>
  <c r="K115" i="6"/>
  <c r="H116" i="6"/>
  <c r="K116" i="6"/>
  <c r="H117" i="6"/>
  <c r="K117" i="6"/>
  <c r="H118" i="6"/>
  <c r="K118" i="6"/>
  <c r="H119" i="6"/>
  <c r="K119" i="6"/>
  <c r="H120" i="6"/>
  <c r="K120" i="6"/>
  <c r="H121" i="6"/>
  <c r="K121" i="6"/>
  <c r="H122" i="6"/>
  <c r="K122" i="6"/>
  <c r="H123" i="6"/>
  <c r="K123" i="6"/>
  <c r="H124" i="6"/>
  <c r="K124" i="6"/>
  <c r="H125" i="6"/>
  <c r="K125" i="6"/>
  <c r="H126" i="6"/>
  <c r="K126" i="6"/>
  <c r="H127" i="6"/>
  <c r="K127" i="6"/>
  <c r="H128" i="6"/>
  <c r="K128" i="6"/>
  <c r="H129" i="6"/>
  <c r="K129" i="6"/>
  <c r="H130" i="6"/>
  <c r="K130" i="6"/>
  <c r="H131" i="6"/>
  <c r="K131" i="6"/>
  <c r="H132" i="6"/>
  <c r="K132" i="6"/>
  <c r="H133" i="6"/>
  <c r="K133" i="6"/>
  <c r="H134" i="6"/>
  <c r="K134" i="6"/>
  <c r="H135" i="6"/>
  <c r="K135" i="6"/>
  <c r="H136" i="6"/>
  <c r="K136" i="6"/>
  <c r="H137" i="6"/>
  <c r="K137" i="6"/>
  <c r="H138" i="6"/>
  <c r="K138" i="6"/>
  <c r="H139" i="6"/>
  <c r="K139" i="6"/>
  <c r="H140" i="6"/>
  <c r="K140" i="6"/>
  <c r="H141" i="6"/>
  <c r="K141" i="6"/>
  <c r="H142" i="6"/>
  <c r="K142" i="6"/>
  <c r="H143" i="6"/>
  <c r="K143" i="6"/>
  <c r="H144" i="6"/>
  <c r="K144" i="6"/>
  <c r="H145" i="6"/>
  <c r="K145" i="6"/>
  <c r="H146" i="6"/>
  <c r="K146" i="6"/>
  <c r="H147" i="6"/>
  <c r="K147" i="6"/>
  <c r="H148" i="6"/>
  <c r="K148" i="6"/>
  <c r="H149" i="6"/>
  <c r="K149" i="6"/>
  <c r="H150" i="6"/>
  <c r="K150" i="6"/>
  <c r="H151" i="6"/>
  <c r="K151" i="6"/>
  <c r="H152" i="6"/>
  <c r="K152" i="6"/>
  <c r="H153" i="6"/>
  <c r="K153" i="6"/>
  <c r="H154" i="6"/>
  <c r="K154" i="6"/>
  <c r="H155" i="6"/>
  <c r="K155" i="6"/>
  <c r="H156" i="6"/>
  <c r="K156" i="6"/>
  <c r="H157" i="6"/>
  <c r="K157" i="6"/>
  <c r="H158" i="6"/>
  <c r="K158" i="6"/>
  <c r="H159" i="6"/>
  <c r="K159" i="6"/>
  <c r="H160" i="6"/>
  <c r="K160" i="6"/>
  <c r="H161" i="6"/>
  <c r="K161" i="6"/>
  <c r="H162" i="6"/>
  <c r="K162" i="6"/>
  <c r="H163" i="6"/>
  <c r="K163" i="6"/>
  <c r="H164" i="6"/>
  <c r="K164" i="6"/>
  <c r="H165" i="6"/>
  <c r="K165" i="6"/>
  <c r="H166" i="6"/>
  <c r="K166" i="6"/>
  <c r="H167" i="6"/>
  <c r="K167" i="6"/>
  <c r="H168" i="6"/>
  <c r="K168" i="6"/>
  <c r="H169" i="6"/>
  <c r="K169" i="6"/>
  <c r="H170" i="6"/>
  <c r="K170" i="6"/>
  <c r="H171" i="6"/>
  <c r="K171" i="6"/>
  <c r="H172" i="6"/>
  <c r="K172" i="6"/>
  <c r="H173" i="6"/>
  <c r="K173" i="6"/>
  <c r="H174" i="6"/>
  <c r="K174" i="6"/>
  <c r="H175" i="6"/>
  <c r="K175" i="6"/>
  <c r="H176" i="6"/>
  <c r="K176" i="6"/>
  <c r="H177" i="6"/>
  <c r="K177" i="6"/>
  <c r="H178" i="6"/>
  <c r="K178" i="6"/>
  <c r="H179" i="6"/>
  <c r="K179" i="6"/>
  <c r="H180" i="6"/>
  <c r="K180" i="6"/>
  <c r="H181" i="6"/>
  <c r="K181" i="6"/>
  <c r="H182" i="6"/>
  <c r="K182" i="6"/>
  <c r="H183" i="6"/>
  <c r="K183" i="6"/>
  <c r="H184" i="6"/>
  <c r="K184" i="6"/>
  <c r="H185" i="6"/>
  <c r="K185" i="6"/>
  <c r="H186" i="6"/>
  <c r="K186" i="6"/>
  <c r="H187" i="6"/>
  <c r="K187" i="6"/>
  <c r="H188" i="6"/>
  <c r="K188" i="6"/>
  <c r="H189" i="6"/>
  <c r="K189" i="6"/>
  <c r="H190" i="6"/>
  <c r="K190" i="6"/>
  <c r="H191" i="6"/>
  <c r="K191" i="6"/>
  <c r="H192" i="6"/>
  <c r="K192" i="6"/>
  <c r="H193" i="6"/>
  <c r="K193" i="6"/>
  <c r="H194" i="6"/>
  <c r="K194" i="6"/>
  <c r="H195" i="6"/>
  <c r="K195" i="6"/>
  <c r="H196" i="6"/>
  <c r="K196" i="6"/>
  <c r="H197" i="6"/>
  <c r="K197" i="6"/>
  <c r="H198" i="6"/>
  <c r="K198" i="6"/>
  <c r="H199" i="6"/>
  <c r="K199" i="6"/>
  <c r="H200" i="6"/>
  <c r="K200" i="6"/>
  <c r="H201" i="6"/>
  <c r="K201" i="6"/>
  <c r="H202" i="6"/>
  <c r="K202" i="6"/>
  <c r="H203" i="6"/>
  <c r="K203" i="6"/>
  <c r="H204" i="6"/>
  <c r="K204" i="6"/>
  <c r="H205" i="6"/>
  <c r="K205" i="6"/>
  <c r="H206" i="6"/>
  <c r="K206" i="6"/>
  <c r="H207" i="6"/>
  <c r="K207" i="6"/>
  <c r="H208" i="6"/>
  <c r="K208" i="6"/>
  <c r="H209" i="6"/>
  <c r="K209" i="6"/>
  <c r="H210" i="6"/>
  <c r="K210" i="6"/>
  <c r="H211" i="6"/>
  <c r="K211" i="6"/>
  <c r="H212" i="6"/>
  <c r="K212" i="6"/>
  <c r="H213" i="6"/>
  <c r="K213" i="6"/>
  <c r="H214" i="6"/>
  <c r="K214" i="6"/>
  <c r="H215" i="6"/>
  <c r="K215" i="6"/>
  <c r="H216" i="6"/>
  <c r="K216" i="6"/>
  <c r="H217" i="6"/>
  <c r="K217" i="6"/>
  <c r="H218" i="6"/>
  <c r="K218" i="6"/>
  <c r="H219" i="6"/>
  <c r="K219" i="6"/>
  <c r="H220" i="6"/>
  <c r="K220" i="6"/>
  <c r="H221" i="6"/>
  <c r="K221" i="6"/>
  <c r="H222" i="6"/>
  <c r="K222" i="6"/>
  <c r="H223" i="6"/>
  <c r="K223" i="6"/>
  <c r="H224" i="6"/>
  <c r="K224" i="6"/>
  <c r="H225" i="6"/>
  <c r="K225" i="6"/>
  <c r="H226" i="6"/>
  <c r="K226" i="6"/>
  <c r="H227" i="6"/>
  <c r="K227" i="6"/>
  <c r="H228" i="6"/>
  <c r="K228" i="6"/>
  <c r="H229" i="6"/>
  <c r="K229" i="6"/>
  <c r="H230" i="6"/>
  <c r="K230" i="6"/>
  <c r="H231" i="6"/>
  <c r="K231" i="6"/>
  <c r="H232" i="6"/>
  <c r="K232" i="6"/>
  <c r="H233" i="6"/>
  <c r="K233" i="6"/>
  <c r="H234" i="6"/>
  <c r="K234" i="6"/>
  <c r="H235" i="6"/>
  <c r="K235" i="6"/>
  <c r="H236" i="6"/>
  <c r="K236" i="6"/>
  <c r="H237" i="6"/>
  <c r="K237" i="6"/>
  <c r="H238" i="6"/>
  <c r="K238" i="6"/>
  <c r="H239" i="6"/>
  <c r="K239" i="6"/>
  <c r="H240" i="6"/>
  <c r="K240" i="6"/>
  <c r="H241" i="6"/>
  <c r="K241" i="6"/>
  <c r="K72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<sst xmlns="http://schemas.openxmlformats.org/spreadsheetml/2006/main" count="2000" uniqueCount="322">
  <si>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</si>
  <si>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</si>
  <si>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</si>
  <si>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</si>
  <si>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</si>
  <si>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</si>
  <si>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</si>
  <si>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</si>
  <si>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</si>
  <si>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</si>
  <si>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</si>
  <si>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</si>
  <si>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</si>
  <si>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</si>
  <si>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</si>
  <si>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</si>
  <si>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</si>
  <si>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</si>
  <si>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</si>
  <si>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</si>
  <si>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</si>
  <si>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</si>
  <si>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</si>
  <si>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</si>
  <si>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</si>
  <si>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</si>
  <si>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</si>
  <si>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</si>
  <si>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</si>
  <si>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TomÃ¡s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</si>
  <si>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</si>
  <si>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</si>
  <si>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</si>
  <si>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</si>
  <si>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</si>
  <si>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</si>
  <si>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</si>
  <si>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</si>
  <si>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</si>
  <si>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</si>
  <si>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</si>
  <si>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</si>
  <si>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</si>
  <si>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</si>
  <si>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</si>
  <si>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</si>
  <si>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</si>
  <si>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</si>
  <si>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</si>
  <si>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</si>
  <si>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</si>
  <si>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</si>
  <si>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</si>
  <si>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</si>
  <si>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</si>
  <si>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</si>
  <si>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</si>
  <si>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</si>
  <si>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</si>
  <si>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</si>
  <si>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</si>
  <si>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</si>
  <si>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</si>
  <si>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</si>
  <si>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</si>
  <si>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</si>
  <si>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</si>
  <si>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</si>
  <si>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</si>
  <si>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</si>
  <si>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</si>
  <si>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</si>
  <si>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</si>
  <si>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</si>
  <si>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</si>
  <si>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</si>
  <si>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</si>
  <si>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</si>
  <si>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</si>
  <si>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</si>
  <si>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</si>
  <si>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</si>
  <si>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</si>
  <si>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</si>
  <si>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</si>
  <si>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</si>
  <si>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</si>
  <si>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</si>
  <si>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</si>
  <si>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</si>
  <si>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</si>
  <si>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</si>
  <si>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</si>
  <si>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</si>
  <si>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</si>
  <si>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</si>
  <si>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</si>
  <si>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</si>
  <si>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</si>
  <si>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</si>
  <si>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</si>
  <si>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</si>
  <si>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</si>
  <si>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</si>
  <si>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</si>
  <si>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</si>
  <si>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</si>
  <si>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</si>
  <si>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</si>
  <si>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</si>
  <si>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</si>
  <si>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</si>
  <si>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</si>
  <si>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</si>
  <si>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</si>
  <si>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</si>
  <si>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</si>
  <si>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</si>
  <si>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</si>
  <si>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</si>
  <si>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</si>
  <si>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</si>
  <si>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</si>
  <si>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</si>
  <si>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</si>
  <si>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</si>
  <si>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</si>
  <si>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</si>
  <si>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</si>
  <si>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</si>
  <si>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</si>
  <si>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</si>
  <si>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</si>
  <si>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</si>
  <si>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</si>
  <si>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</si>
  <si>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</si>
  <si>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</si>
  <si>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</si>
  <si>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</si>
  <si>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</si>
  <si>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</si>
  <si>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</si>
  <si>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</si>
  <si>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</si>
  <si>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</si>
  <si>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</si>
  <si>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</si>
  <si>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</si>
  <si>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</si>
  <si>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</si>
  <si>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</si>
  <si>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</si>
  <si>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</si>
  <si>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</si>
  <si>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</si>
  <si>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</si>
  <si>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</si>
  <si>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</si>
  <si>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</si>
  <si>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</si>
  <si>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</si>
  <si>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</si>
  <si>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</si>
  <si>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</si>
  <si>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</si>
  <si>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</si>
  <si>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</si>
  <si>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</si>
  <si>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</si>
  <si>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</si>
  <si>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</si>
  <si>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</si>
  <si>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</si>
  <si>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</si>
  <si>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</si>
  <si>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</si>
  <si>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</si>
  <si>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</si>
  <si>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</si>
  <si>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</si>
  <si>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</si>
  <si>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</si>
  <si>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</si>
  <si>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</si>
  <si>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</si>
  <si>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</si>
  <si>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</si>
  <si>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</si>
  <si>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</si>
  <si>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</si>
  <si>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</si>
  <si>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</si>
  <si>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</si>
  <si>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</si>
  <si>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</si>
  <si>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</si>
  <si>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</si>
  <si>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</si>
  <si>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</si>
  <si>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</si>
  <si>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</si>
  <si>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</si>
  <si>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</si>
  <si>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</si>
  <si>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</si>
  <si>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</si>
  <si>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</si>
  <si>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</si>
  <si>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</si>
  <si>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</si>
  <si>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</si>
  <si>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</si>
  <si>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</si>
  <si>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</si>
  <si>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</si>
  <si>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</si>
  <si>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</si>
  <si>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</si>
  <si>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</si>
  <si>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</si>
  <si>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</si>
  <si>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</si>
  <si>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</si>
  <si>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</si>
  <si>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</si>
  <si>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</si>
  <si>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</si>
  <si>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</si>
  <si>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</si>
  <si>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</si>
  <si>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</si>
  <si>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</si>
  <si>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</si>
  <si>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</si>
  <si>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</si>
  <si>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</si>
  <si>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</si>
  <si>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</si>
  <si>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</si>
  <si>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</si>
  <si>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</si>
  <si>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</si>
  <si>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</si>
  <si>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</si>
  <si>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</si>
  <si>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</si>
  <si>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</si>
  <si>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</si>
  <si>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</si>
  <si>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</si>
  <si>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</si>
  <si>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</si>
  <si>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</si>
  <si>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</si>
  <si>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</si>
  <si>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</si>
  <si>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</si>
  <si>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</si>
  <si>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</si>
  <si>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</si>
  <si>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</si>
  <si>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</si>
  <si>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</si>
  <si>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</si>
  <si>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</si>
  <si>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</si>
  <si>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</si>
  <si>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</si>
  <si>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</si>
  <si>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</si>
  <si>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 xml:space="preserve">ANALYSIS OF SALES DATASET </t>
  </si>
  <si>
    <t>duplicate  records</t>
  </si>
  <si>
    <t>:NONE</t>
  </si>
  <si>
    <t xml:space="preserve">missing Value </t>
  </si>
  <si>
    <t>Duplicate Order IDs</t>
  </si>
  <si>
    <t>Blank Order IDs</t>
  </si>
  <si>
    <t>Blank Dates</t>
  </si>
  <si>
    <t>Blank Products</t>
  </si>
  <si>
    <t>Blank Quantity</t>
  </si>
  <si>
    <t>Blank Unit Price</t>
  </si>
  <si>
    <t>Blank Total</t>
  </si>
  <si>
    <t>Blank Region</t>
  </si>
  <si>
    <t>Blank Salesperson</t>
  </si>
  <si>
    <t>Wrong Total</t>
  </si>
  <si>
    <t>Tomas Tanaka</t>
  </si>
  <si>
    <t xml:space="preserve">salesperson </t>
  </si>
  <si>
    <t xml:space="preserve">Result </t>
  </si>
  <si>
    <t>total sales</t>
  </si>
  <si>
    <t xml:space="preserve">Total Quantity sold </t>
  </si>
  <si>
    <t>Average Order Value</t>
  </si>
  <si>
    <t>Total sales of Each product :</t>
  </si>
  <si>
    <t>laptop stand</t>
  </si>
  <si>
    <t xml:space="preserve">Total Sales of Each Region </t>
  </si>
  <si>
    <t>Monthly Sales</t>
  </si>
  <si>
    <t xml:space="preserve">MARCH </t>
  </si>
  <si>
    <t xml:space="preserve">APRIL </t>
  </si>
  <si>
    <t>MAY</t>
  </si>
  <si>
    <t>JUNE</t>
  </si>
  <si>
    <t>JULY</t>
  </si>
  <si>
    <t xml:space="preserve">DECEMBER </t>
  </si>
  <si>
    <t xml:space="preserve">NOVEMBER </t>
  </si>
  <si>
    <t xml:space="preserve">OCTOBER </t>
  </si>
  <si>
    <t xml:space="preserve">SEPTEMBER </t>
  </si>
  <si>
    <t xml:space="preserve">AUGUST </t>
  </si>
  <si>
    <t xml:space="preserve">FEBRUARY </t>
  </si>
  <si>
    <t xml:space="preserve">JANUARY </t>
  </si>
  <si>
    <t xml:space="preserve">Highest Monthly Sales </t>
  </si>
  <si>
    <t>Lowest Monthly Sales</t>
  </si>
  <si>
    <t>Salesperson-wise Sales</t>
  </si>
  <si>
    <t xml:space="preserve">Highest Sale Product </t>
  </si>
  <si>
    <t xml:space="preserve">Lowest sale  Product </t>
  </si>
  <si>
    <t>Highest Sales Person</t>
  </si>
  <si>
    <t>Lowest Sales Person</t>
  </si>
  <si>
    <t>Product-wise Sales Analysis</t>
  </si>
  <si>
    <t>Monthly Sales chart</t>
  </si>
  <si>
    <t>Region-wise Sales Chart</t>
  </si>
  <si>
    <t>Salesperson-wise Sales Chart</t>
  </si>
  <si>
    <t>Insights &amp; Conclusion</t>
  </si>
  <si>
    <t>KEY INSIGHTS:-                  
1. Laptop Stand had the highest product sales of ₹18,713.90.
2. Standing Desk had the lowest product sales of ₹6,526.55.
3. Central region recorded the highest sales of ₹30,787.94.
4. West region recorded the lowest sales of ₹26,154.87.
5. June had the highest monthly sales of ₹36,508.49.
6. Priya Herrera was the highest-performing salesperson with ₹28,195.51.
7. Chen Bennett had the lowest salesperson sales at ₹20,517.66.</t>
  </si>
  <si>
    <t>This project analyzes sales data to identify sales trends, top-performing products, regions, months, and salespersons. The analysis helps understand business performance and supports better data-driven decision-making.</t>
  </si>
  <si>
    <t>priya Hereera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</si>
</sst>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6"/>
      <name val="Yu Gothic"/>
      <family val="2"/>
      <charset val="128"/>
    </font>
    <font>
      <b/>
      <u/>
      <sz val="24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Sheet1!$C$47:$C$58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</c:v>
                </c:pt>
                <c:pt idx="8">
                  <c:v>SEPTEMBER </c:v>
                </c:pt>
                <c:pt idx="9">
                  <c:v>OCTOBER </c:v>
                </c:pt>
                <c:pt idx="10">
                  <c:v>NOVEMBER </c:v>
                </c:pt>
                <c:pt idx="11">
                  <c:v>DECEMBER </c:v>
                </c:pt>
              </c:strCache>
            </c:strRef>
          </c:cat>
          <c:val>
            <c:numRef>
              <c:f>Sheet1!$D$47:$D$58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3-2F4B-AD1E-5FF11BAA7F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Sheet1!$C$47:$C$58</c:f>
              <c:strCache>
                <c:ptCount val="12"/>
                <c:pt idx="0">
                  <c:v>JANUARY </c:v>
                </c:pt>
                <c:pt idx="1">
                  <c:v>FEBRUARY </c:v>
                </c:pt>
                <c:pt idx="2">
                  <c:v>MARCH </c:v>
                </c:pt>
                <c:pt idx="3">
                  <c:v>APRIL 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 </c:v>
                </c:pt>
                <c:pt idx="8">
                  <c:v>SEPTEMBER </c:v>
                </c:pt>
                <c:pt idx="9">
                  <c:v>OCTOBER </c:v>
                </c:pt>
                <c:pt idx="10">
                  <c:v>NOVEMBER </c:v>
                </c:pt>
                <c:pt idx="11">
                  <c:v>DECEMBER </c:v>
                </c:pt>
              </c:strCache>
            </c:strRef>
          </c:cat>
          <c:val>
            <c:numRef>
              <c:f>Sheet1!$E$47:$E$58</c:f>
              <c:numCache>
                <c:formatCode>General</c:formatCode>
                <c:ptCount val="12"/>
                <c:pt idx="0">
                  <c:v>24177.450000000004</c:v>
                </c:pt>
                <c:pt idx="1">
                  <c:v>13788.89</c:v>
                </c:pt>
                <c:pt idx="2">
                  <c:v>19390.28</c:v>
                </c:pt>
                <c:pt idx="3">
                  <c:v>23471.379999999997</c:v>
                </c:pt>
                <c:pt idx="4">
                  <c:v>24209.770000000004</c:v>
                </c:pt>
                <c:pt idx="5">
                  <c:v>36508.49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3-2F4B-AD1E-5FF11BAA7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246671"/>
        <c:axId val="1733260559"/>
      </c:lineChart>
      <c:catAx>
        <c:axId val="173324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60559"/>
        <c:crosses val="autoZero"/>
        <c:auto val="1"/>
        <c:lblAlgn val="ctr"/>
        <c:lblOffset val="100"/>
        <c:noMultiLvlLbl val="0"/>
      </c:catAx>
      <c:valAx>
        <c:axId val="17332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-WISE SALES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Sheet1!$C$40:$C$44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  <c:pt idx="4">
                  <c:v>West</c:v>
                </c:pt>
              </c:strCache>
            </c:strRef>
          </c:cat>
          <c:val>
            <c:numRef>
              <c:f>Sheet1!$D$40:$D$44</c:f>
              <c:numCache>
                <c:formatCode>General</c:formatCode>
                <c:ptCount val="5"/>
                <c:pt idx="0">
                  <c:v>28925</c:v>
                </c:pt>
                <c:pt idx="1">
                  <c:v>30083.510000000002</c:v>
                </c:pt>
                <c:pt idx="2">
                  <c:v>26485.820000000007</c:v>
                </c:pt>
                <c:pt idx="3">
                  <c:v>30787.940000000013</c:v>
                </c:pt>
                <c:pt idx="4">
                  <c:v>26154.87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A-924C-B2D3-7DC35605D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471119"/>
        <c:axId val="1733528911"/>
      </c:barChart>
      <c:catAx>
        <c:axId val="173347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28911"/>
        <c:crosses val="autoZero"/>
        <c:auto val="1"/>
        <c:lblAlgn val="ctr"/>
        <c:lblOffset val="100"/>
        <c:noMultiLvlLbl val="0"/>
      </c:catAx>
      <c:valAx>
        <c:axId val="17335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7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-WISE SALES ANALYSIS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Sheet1!$C$24:$C$35</c:f>
              <c:strCache>
                <c:ptCount val="12"/>
                <c:pt idx="0">
                  <c:v>Mechanical Keyboard</c:v>
                </c:pt>
                <c:pt idx="1">
                  <c:v>USB-C Hub</c:v>
                </c:pt>
                <c:pt idx="2">
                  <c:v>Standing Desk</c:v>
                </c:pt>
                <c:pt idx="3">
                  <c:v>Webcam 1080p</c:v>
                </c:pt>
                <c:pt idx="4">
                  <c:v>Desk Lamp</c:v>
                </c:pt>
                <c:pt idx="5">
                  <c:v>Cable Organizer</c:v>
                </c:pt>
                <c:pt idx="6">
                  <c:v>Noise-Cancelling Headphones</c:v>
                </c:pt>
                <c:pt idx="7">
                  <c:v>Laptop Stand</c:v>
                </c:pt>
                <c:pt idx="8">
                  <c:v>Ergonomic Chair</c:v>
                </c:pt>
                <c:pt idx="9">
                  <c:v>Wireless Mouse</c:v>
                </c:pt>
                <c:pt idx="10">
                  <c:v>External SSD 1TB</c:v>
                </c:pt>
                <c:pt idx="11">
                  <c:v>27-inch Monitor</c:v>
                </c:pt>
              </c:strCache>
            </c:strRef>
          </c:cat>
          <c:val>
            <c:numRef>
              <c:f>Sheet1!$D$24:$D$35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A80-844B-98C9-30A4F9A73D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Sheet1!$C$24:$C$35</c:f>
              <c:strCache>
                <c:ptCount val="12"/>
                <c:pt idx="0">
                  <c:v>Mechanical Keyboard</c:v>
                </c:pt>
                <c:pt idx="1">
                  <c:v>USB-C Hub</c:v>
                </c:pt>
                <c:pt idx="2">
                  <c:v>Standing Desk</c:v>
                </c:pt>
                <c:pt idx="3">
                  <c:v>Webcam 1080p</c:v>
                </c:pt>
                <c:pt idx="4">
                  <c:v>Desk Lamp</c:v>
                </c:pt>
                <c:pt idx="5">
                  <c:v>Cable Organizer</c:v>
                </c:pt>
                <c:pt idx="6">
                  <c:v>Noise-Cancelling Headphones</c:v>
                </c:pt>
                <c:pt idx="7">
                  <c:v>Laptop Stand</c:v>
                </c:pt>
                <c:pt idx="8">
                  <c:v>Ergonomic Chair</c:v>
                </c:pt>
                <c:pt idx="9">
                  <c:v>Wireless Mouse</c:v>
                </c:pt>
                <c:pt idx="10">
                  <c:v>External SSD 1TB</c:v>
                </c:pt>
                <c:pt idx="11">
                  <c:v>27-inch Monitor</c:v>
                </c:pt>
              </c:strCache>
            </c:strRef>
          </c:cat>
          <c:val>
            <c:numRef>
              <c:f>Sheet1!$E$24:$E$35</c:f>
              <c:numCache>
                <c:formatCode>General</c:formatCode>
                <c:ptCount val="12"/>
                <c:pt idx="0">
                  <c:v>9513.33</c:v>
                </c:pt>
                <c:pt idx="1">
                  <c:v>8082.1000000000013</c:v>
                </c:pt>
                <c:pt idx="2">
                  <c:v>6526.5499999999993</c:v>
                </c:pt>
                <c:pt idx="3">
                  <c:v>16809.84</c:v>
                </c:pt>
                <c:pt idx="4">
                  <c:v>10445.799999999999</c:v>
                </c:pt>
                <c:pt idx="5">
                  <c:v>16142.37</c:v>
                </c:pt>
                <c:pt idx="6">
                  <c:v>10674.320000000002</c:v>
                </c:pt>
                <c:pt idx="7">
                  <c:v>18713.899999999998</c:v>
                </c:pt>
                <c:pt idx="8">
                  <c:v>10624.930000000002</c:v>
                </c:pt>
                <c:pt idx="9">
                  <c:v>14290.77</c:v>
                </c:pt>
                <c:pt idx="10">
                  <c:v>12103.9</c:v>
                </c:pt>
                <c:pt idx="11">
                  <c:v>8509.33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0-844B-98C9-30A4F9A7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846095"/>
        <c:axId val="1733842511"/>
      </c:barChart>
      <c:catAx>
        <c:axId val="173384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42511"/>
        <c:crosses val="autoZero"/>
        <c:auto val="1"/>
        <c:lblAlgn val="ctr"/>
        <c:lblOffset val="100"/>
        <c:noMultiLvlLbl val="0"/>
      </c:catAx>
      <c:valAx>
        <c:axId val="173384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Salesperson-wise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Sheet1!$C$63:$C$68</c:f>
              <c:strCache>
                <c:ptCount val="6"/>
                <c:pt idx="0">
                  <c:v>Sofia Kowalski</c:v>
                </c:pt>
                <c:pt idx="1">
                  <c:v>Elena Cohen</c:v>
                </c:pt>
                <c:pt idx="2">
                  <c:v>Omar Haddad</c:v>
                </c:pt>
                <c:pt idx="3">
                  <c:v>Tomas Tanaka</c:v>
                </c:pt>
                <c:pt idx="4">
                  <c:v>Priya Herrera</c:v>
                </c:pt>
                <c:pt idx="5">
                  <c:v>Chen Bennett</c:v>
                </c:pt>
              </c:strCache>
            </c:strRef>
          </c:cat>
          <c:val>
            <c:numRef>
              <c:f>Sheet1!$D$63:$D$68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C94F-3349-A98A-7F3EE8FDF0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Sheet1!$C$63:$C$68</c:f>
              <c:strCache>
                <c:ptCount val="6"/>
                <c:pt idx="0">
                  <c:v>Sofia Kowalski</c:v>
                </c:pt>
                <c:pt idx="1">
                  <c:v>Elena Cohen</c:v>
                </c:pt>
                <c:pt idx="2">
                  <c:v>Omar Haddad</c:v>
                </c:pt>
                <c:pt idx="3">
                  <c:v>Tomas Tanaka</c:v>
                </c:pt>
                <c:pt idx="4">
                  <c:v>Priya Herrera</c:v>
                </c:pt>
                <c:pt idx="5">
                  <c:v>Chen Bennett</c:v>
                </c:pt>
              </c:strCache>
            </c:strRef>
          </c:cat>
          <c:val>
            <c:numRef>
              <c:f>Sheet1!$E$63:$E$68</c:f>
              <c:numCache>
                <c:formatCode>General</c:formatCode>
                <c:ptCount val="6"/>
                <c:pt idx="0">
                  <c:v>24885.19000000001</c:v>
                </c:pt>
                <c:pt idx="1">
                  <c:v>21737.260000000009</c:v>
                </c:pt>
                <c:pt idx="2">
                  <c:v>22989.339999999997</c:v>
                </c:pt>
                <c:pt idx="3">
                  <c:v>24112.180000000004</c:v>
                </c:pt>
                <c:pt idx="4">
                  <c:v>28195.51</c:v>
                </c:pt>
                <c:pt idx="5">
                  <c:v>20517.659999999993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4F-3349-A98A-7F3EE8FD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749135"/>
        <c:axId val="1729736591"/>
      </c:barChart>
      <c:catAx>
        <c:axId val="172974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36591"/>
        <c:crosses val="autoZero"/>
        <c:auto val="1"/>
        <c:lblAlgn val="ctr"/>
        <c:lblOffset val="100"/>
        <c:noMultiLvlLbl val="0"/>
      </c:catAx>
      <c:valAx>
        <c:axId val="172973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665176</xdr:colOff>
      <xdr:row>98</xdr:row>
      <xdr:rowOff>59825</xdr:rowOff>
    </xdr:from>
    <xdr:to>
      <xdr:col>6</xdr:col>
      <xdr:colOff>734451</xdr:colOff>
      <xdr:row>112</xdr:row>
      <xdr:rowOff>136025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569CBD-9724-C0DA-ED37-713449F9B49F}"/>
            </a:ext>
            <a:ext uri="{147F2762-F138-4A5C-976F-8EAC2B608ADB}">
              <a16:predDERef xmlns:a16="http://schemas.microsoft.com/office/drawing/2014/main" pred="{E8E95154-01BD-FD23-0C7F-A4EEC1B3F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606828</xdr:colOff>
      <xdr:row>119</xdr:row>
      <xdr:rowOff>49876</xdr:rowOff>
    </xdr:from>
    <xdr:to>
      <xdr:col>6</xdr:col>
      <xdr:colOff>806333</xdr:colOff>
      <xdr:row>133</xdr:row>
      <xdr:rowOff>116380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56EB45-E580-0383-0BF0-BB0D4AEA9544}"/>
            </a:ext>
            <a:ext uri="{147F2762-F138-4A5C-976F-8EAC2B608ADB}">
              <a16:predDERef xmlns:a16="http://schemas.microsoft.com/office/drawing/2014/main" pred="{C6569CBD-9724-C0DA-ED37-713449F9B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548641</xdr:colOff>
      <xdr:row>77</xdr:row>
      <xdr:rowOff>149630</xdr:rowOff>
    </xdr:from>
    <xdr:to>
      <xdr:col>6</xdr:col>
      <xdr:colOff>590205</xdr:colOff>
      <xdr:row>92</xdr:row>
      <xdr:rowOff>24938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C19531-F1B7-9EFC-88FA-E68886D94EC0}"/>
            </a:ext>
            <a:ext uri="{147F2762-F138-4A5C-976F-8EAC2B608ADB}">
              <a16:predDERef xmlns:a16="http://schemas.microsoft.com/office/drawing/2014/main" pred="{AE56EB45-E580-0383-0BF0-BB0D4AEA9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557391</xdr:colOff>
      <xdr:row>140</xdr:row>
      <xdr:rowOff>40907</xdr:rowOff>
    </xdr:from>
    <xdr:to>
      <xdr:col>6</xdr:col>
      <xdr:colOff>617549</xdr:colOff>
      <xdr:row>154</xdr:row>
      <xdr:rowOff>104347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D0ECF-1FEC-949F-C7A4-E27CD87C3290}"/>
            </a:ext>
            <a:ext uri="{147F2762-F138-4A5C-976F-8EAC2B608ADB}">
              <a16:predDERef xmlns:a16="http://schemas.microsoft.com/office/drawing/2014/main" pred="{38C19531-F1B7-9EFC-88FA-E68886D94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97FB-B840-A540-9939-FED35C9CC3C7}">
  <dimension ref="A1:K241"/>
  <sheetViews>
    <sheetView workbookViewId="0">
      <selection activeCell="M13" sqref="M13"/>
    </sheetView>
  </sheetViews>
  <sheetFormatPr defaultRowHeight="15" x14ac:dyDescent="0.2"/>
  <cols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J1" t="s">
        <v>7</v>
      </c>
    </row>
    <row r="2" spans="1:10" x14ac:dyDescent="0.2">
      <c r="A2" t="s">
        <v>8</v>
      </c>
      <c r="B2" s="1">
        <v>46146</v>
      </c>
      <c r="C2" t="s">
        <v>9</v>
      </c>
      <c r="D2">
        <v>6</v>
      </c>
      <c r="E2">
        <v>112.7</v>
      </c>
      <c r="F2">
        <v>676.2</v>
      </c>
      <c r="G2" t="s">
        <v>10</v>
      </c>
      <c r="H2" t="str">
        <f>SUBSTITUTE(J2,"TomÃ¡s Tanaka","Tomas Tanaka")</f>
        <v>Sofia Kowalski</v>
      </c>
      <c r="J2" t="s">
        <v>11</v>
      </c>
    </row>
    <row r="3" spans="1:10" x14ac:dyDescent="0.2">
      <c r="A3" t="s">
        <v>12</v>
      </c>
      <c r="B3" s="1">
        <v>46199</v>
      </c>
      <c r="C3" t="s">
        <v>13</v>
      </c>
      <c r="D3">
        <v>6</v>
      </c>
      <c r="E3">
        <v>35.78</v>
      </c>
      <c r="F3">
        <v>214.68</v>
      </c>
      <c r="G3" t="s">
        <v>14</v>
      </c>
      <c r="H3" t="str">
        <f>SUBSTITUTE(J3,"TomÃ¡s Tanaka","Tomas Tanaka")</f>
        <v>Sofia Kowalski</v>
      </c>
      <c r="J3" t="s">
        <v>11</v>
      </c>
    </row>
    <row r="4" spans="1:10" x14ac:dyDescent="0.2">
      <c r="A4" t="s">
        <v>15</v>
      </c>
      <c r="B4" s="1">
        <v>46089</v>
      </c>
      <c r="C4" t="s">
        <v>16</v>
      </c>
      <c r="D4">
        <v>1</v>
      </c>
      <c r="E4">
        <v>111.15</v>
      </c>
      <c r="F4">
        <v>111.15</v>
      </c>
      <c r="G4" t="s">
        <v>14</v>
      </c>
      <c r="H4" t="str">
        <f>SUBSTITUTE(J4,"TomÃ¡s Tanaka","Tomas Tanaka")</f>
        <v>Elena Cohen</v>
      </c>
      <c r="J4" t="s">
        <v>17</v>
      </c>
    </row>
    <row r="5" spans="1:10" x14ac:dyDescent="0.2">
      <c r="A5" t="s">
        <v>18</v>
      </c>
      <c r="B5" s="1">
        <v>46067</v>
      </c>
      <c r="C5" t="s">
        <v>19</v>
      </c>
      <c r="D5">
        <v>1</v>
      </c>
      <c r="E5">
        <v>112.67</v>
      </c>
      <c r="F5">
        <v>112.67</v>
      </c>
      <c r="G5" t="s">
        <v>20</v>
      </c>
      <c r="H5" t="str">
        <f>SUBSTITUTE(J5,"TomÃ¡s Tanaka","Tomas Tanaka")</f>
        <v>Omar Haddad</v>
      </c>
      <c r="J5" t="s">
        <v>21</v>
      </c>
    </row>
    <row r="6" spans="1:10" x14ac:dyDescent="0.2">
      <c r="A6" t="s">
        <v>22</v>
      </c>
      <c r="B6" s="1">
        <v>46075</v>
      </c>
      <c r="C6" t="s">
        <v>19</v>
      </c>
      <c r="D6">
        <v>1</v>
      </c>
      <c r="E6">
        <v>54.09</v>
      </c>
      <c r="F6">
        <v>54.09</v>
      </c>
      <c r="G6" t="s">
        <v>23</v>
      </c>
      <c r="H6" t="str">
        <f>SUBSTITUTE(J6,"TomÃ¡s Tanaka","Tomas Tanaka")</f>
        <v>Sofia Kowalski</v>
      </c>
      <c r="J6" t="s">
        <v>11</v>
      </c>
    </row>
    <row r="7" spans="1:10" x14ac:dyDescent="0.2">
      <c r="A7" t="s">
        <v>24</v>
      </c>
      <c r="B7" s="1">
        <v>46040</v>
      </c>
      <c r="C7" t="s">
        <v>25</v>
      </c>
      <c r="D7">
        <v>4</v>
      </c>
      <c r="E7">
        <v>215.54</v>
      </c>
      <c r="F7">
        <v>862.16</v>
      </c>
      <c r="G7" t="s">
        <v>26</v>
      </c>
      <c r="H7" t="str">
        <f>SUBSTITUTE(J7,"TomÃ¡s Tanaka","Tomas Tanaka")</f>
        <v>Omar Haddad</v>
      </c>
      <c r="J7" t="s">
        <v>21</v>
      </c>
    </row>
    <row r="8" spans="1:10" x14ac:dyDescent="0.2">
      <c r="A8" t="s">
        <v>27</v>
      </c>
      <c r="B8" s="1">
        <v>46125</v>
      </c>
      <c r="C8" t="s">
        <v>28</v>
      </c>
      <c r="D8">
        <v>3</v>
      </c>
      <c r="E8">
        <v>17.52</v>
      </c>
      <c r="F8">
        <v>52.56</v>
      </c>
      <c r="G8" t="s">
        <v>20</v>
      </c>
      <c r="H8" t="str">
        <f>SUBSTITUTE(J8,"TomÃ¡s Tanaka","Tomas Tanaka")</f>
        <v>Tomas Tanaka</v>
      </c>
      <c r="J8" t="s">
        <v>285</v>
      </c>
    </row>
    <row r="9" spans="1:10" x14ac:dyDescent="0.2">
      <c r="A9" t="s">
        <v>30</v>
      </c>
      <c r="B9" s="1">
        <v>46148</v>
      </c>
      <c r="C9" t="s">
        <v>31</v>
      </c>
      <c r="D9">
        <v>6</v>
      </c>
      <c r="E9">
        <v>181.65</v>
      </c>
      <c r="F9">
        <v>1089.9000000000001</v>
      </c>
      <c r="G9" t="s">
        <v>26</v>
      </c>
      <c r="H9" t="str">
        <f>SUBSTITUTE(J9,"TomÃ¡s Tanaka","Tomas Tanaka")</f>
        <v>Omar Haddad</v>
      </c>
      <c r="J9" t="s">
        <v>21</v>
      </c>
    </row>
    <row r="10" spans="1:10" x14ac:dyDescent="0.2">
      <c r="A10" t="s">
        <v>32</v>
      </c>
      <c r="B10" s="1">
        <v>46116</v>
      </c>
      <c r="C10" t="s">
        <v>33</v>
      </c>
      <c r="D10">
        <v>8</v>
      </c>
      <c r="E10">
        <v>28.72</v>
      </c>
      <c r="F10">
        <v>229.76</v>
      </c>
      <c r="G10" t="s">
        <v>20</v>
      </c>
      <c r="H10" t="str">
        <f>SUBSTITUTE(J10,"TomÃ¡s Tanaka","Tomas Tanaka")</f>
        <v>Sofia Kowalski</v>
      </c>
      <c r="J10" t="s">
        <v>11</v>
      </c>
    </row>
    <row r="11" spans="1:10" x14ac:dyDescent="0.2">
      <c r="A11" t="s">
        <v>34</v>
      </c>
      <c r="B11" s="1">
        <v>46082</v>
      </c>
      <c r="C11" t="s">
        <v>35</v>
      </c>
      <c r="D11">
        <v>7</v>
      </c>
      <c r="E11">
        <v>143.97</v>
      </c>
      <c r="F11">
        <v>1007.79</v>
      </c>
      <c r="G11" t="s">
        <v>20</v>
      </c>
      <c r="H11" t="str">
        <f>SUBSTITUTE(J11,"TomÃ¡s Tanaka","Tomas Tanaka")</f>
        <v>Priya Herrera</v>
      </c>
      <c r="J11" t="s">
        <v>36</v>
      </c>
    </row>
    <row r="12" spans="1:10" x14ac:dyDescent="0.2">
      <c r="A12" t="s">
        <v>37</v>
      </c>
      <c r="B12" s="1">
        <v>46049</v>
      </c>
      <c r="C12" t="s">
        <v>28</v>
      </c>
      <c r="D12">
        <v>7</v>
      </c>
      <c r="E12">
        <v>147.79</v>
      </c>
      <c r="F12">
        <v>1034.53</v>
      </c>
      <c r="G12" t="s">
        <v>10</v>
      </c>
      <c r="H12" t="str">
        <f>SUBSTITUTE(J12,"TomÃ¡s Tanaka","Tomas Tanaka")</f>
        <v>Priya Herrera</v>
      </c>
      <c r="J12" t="s">
        <v>36</v>
      </c>
    </row>
    <row r="13" spans="1:10" x14ac:dyDescent="0.2">
      <c r="A13" t="s">
        <v>38</v>
      </c>
      <c r="B13" s="1">
        <v>46161</v>
      </c>
      <c r="C13" t="s">
        <v>39</v>
      </c>
      <c r="D13">
        <v>5</v>
      </c>
      <c r="E13">
        <v>206.67</v>
      </c>
      <c r="F13">
        <v>1033.3499999999999</v>
      </c>
      <c r="G13" t="s">
        <v>10</v>
      </c>
      <c r="H13" t="str">
        <f>SUBSTITUTE(J13,"TomÃ¡s Tanaka","Tomas Tanaka")</f>
        <v>Chen Bennett</v>
      </c>
      <c r="J13" t="s">
        <v>40</v>
      </c>
    </row>
    <row r="14" spans="1:10" x14ac:dyDescent="0.2">
      <c r="A14" t="s">
        <v>41</v>
      </c>
      <c r="B14" s="1">
        <v>46131</v>
      </c>
      <c r="C14" t="s">
        <v>13</v>
      </c>
      <c r="D14">
        <v>6</v>
      </c>
      <c r="E14">
        <v>119.74</v>
      </c>
      <c r="F14">
        <v>718.44</v>
      </c>
      <c r="G14" t="s">
        <v>14</v>
      </c>
      <c r="H14" t="str">
        <f>SUBSTITUTE(J14,"TomÃ¡s Tanaka","Tomas Tanaka")</f>
        <v>Tomas Tanaka</v>
      </c>
      <c r="J14" t="s">
        <v>285</v>
      </c>
    </row>
    <row r="15" spans="1:10" x14ac:dyDescent="0.2">
      <c r="A15" t="s">
        <v>42</v>
      </c>
      <c r="B15" s="1">
        <v>46128</v>
      </c>
      <c r="C15" t="s">
        <v>9</v>
      </c>
      <c r="D15">
        <v>2</v>
      </c>
      <c r="E15">
        <v>179.18</v>
      </c>
      <c r="F15">
        <v>358.36</v>
      </c>
      <c r="G15" t="s">
        <v>10</v>
      </c>
      <c r="H15" t="str">
        <f>SUBSTITUTE(J15,"TomÃ¡s Tanaka","Tomas Tanaka")</f>
        <v>Tomas Tanaka</v>
      </c>
      <c r="J15" t="s">
        <v>285</v>
      </c>
    </row>
    <row r="16" spans="1:10" x14ac:dyDescent="0.2">
      <c r="A16" t="s">
        <v>43</v>
      </c>
      <c r="B16" s="1">
        <v>46187</v>
      </c>
      <c r="C16" t="s">
        <v>44</v>
      </c>
      <c r="D16">
        <v>8</v>
      </c>
      <c r="E16">
        <v>149.41</v>
      </c>
      <c r="F16">
        <v>1195.28</v>
      </c>
      <c r="G16" t="s">
        <v>20</v>
      </c>
      <c r="H16" t="str">
        <f>SUBSTITUTE(J16,"TomÃ¡s Tanaka","Tomas Tanaka")</f>
        <v>Chen Bennett</v>
      </c>
      <c r="J16" t="s">
        <v>40</v>
      </c>
    </row>
    <row r="17" spans="1:10" x14ac:dyDescent="0.2">
      <c r="A17" t="s">
        <v>45</v>
      </c>
      <c r="B17" s="1">
        <v>46028</v>
      </c>
      <c r="C17" t="s">
        <v>35</v>
      </c>
      <c r="D17">
        <v>1</v>
      </c>
      <c r="E17">
        <v>223.56</v>
      </c>
      <c r="F17">
        <v>223.56</v>
      </c>
      <c r="G17" t="s">
        <v>23</v>
      </c>
      <c r="H17" t="str">
        <f>SUBSTITUTE(J17,"TomÃ¡s Tanaka","Tomas Tanaka")</f>
        <v>Elena Cohen</v>
      </c>
      <c r="J17" t="s">
        <v>17</v>
      </c>
    </row>
    <row r="18" spans="1:10" x14ac:dyDescent="0.2">
      <c r="A18" t="s">
        <v>46</v>
      </c>
      <c r="B18" s="1">
        <v>46092</v>
      </c>
      <c r="C18" t="s">
        <v>25</v>
      </c>
      <c r="D18">
        <v>7</v>
      </c>
      <c r="E18">
        <v>59.12</v>
      </c>
      <c r="F18">
        <v>413.84</v>
      </c>
      <c r="G18" t="s">
        <v>10</v>
      </c>
      <c r="H18" t="str">
        <f>SUBSTITUTE(J18,"TomÃ¡s Tanaka","Tomas Tanaka")</f>
        <v>Chen Bennett</v>
      </c>
      <c r="J18" t="s">
        <v>40</v>
      </c>
    </row>
    <row r="19" spans="1:10" x14ac:dyDescent="0.2">
      <c r="A19" t="s">
        <v>47</v>
      </c>
      <c r="B19" s="1">
        <v>46129</v>
      </c>
      <c r="C19" t="s">
        <v>9</v>
      </c>
      <c r="D19">
        <v>7</v>
      </c>
      <c r="E19">
        <v>90.62</v>
      </c>
      <c r="F19">
        <v>634.34</v>
      </c>
      <c r="G19" t="s">
        <v>20</v>
      </c>
      <c r="H19" t="str">
        <f>SUBSTITUTE(J19,"TomÃ¡s Tanaka","Tomas Tanaka")</f>
        <v>Priya Herrera</v>
      </c>
      <c r="J19" t="s">
        <v>36</v>
      </c>
    </row>
    <row r="20" spans="1:10" x14ac:dyDescent="0.2">
      <c r="A20" t="s">
        <v>48</v>
      </c>
      <c r="B20" s="1">
        <v>46032</v>
      </c>
      <c r="C20" t="s">
        <v>19</v>
      </c>
      <c r="D20">
        <v>2</v>
      </c>
      <c r="E20">
        <v>197.09</v>
      </c>
      <c r="F20">
        <v>394.18</v>
      </c>
      <c r="G20" t="s">
        <v>20</v>
      </c>
      <c r="H20" t="str">
        <f>SUBSTITUTE(J20,"TomÃ¡s Tanaka","Tomas Tanaka")</f>
        <v>Sofia Kowalski</v>
      </c>
      <c r="J20" t="s">
        <v>11</v>
      </c>
    </row>
    <row r="21" spans="1:10" x14ac:dyDescent="0.2">
      <c r="A21" t="s">
        <v>49</v>
      </c>
      <c r="B21" s="1">
        <v>46202</v>
      </c>
      <c r="C21" t="s">
        <v>33</v>
      </c>
      <c r="D21">
        <v>4</v>
      </c>
      <c r="E21">
        <v>167.13</v>
      </c>
      <c r="F21">
        <v>668.52</v>
      </c>
      <c r="G21" t="s">
        <v>20</v>
      </c>
      <c r="H21" t="str">
        <f>SUBSTITUTE(J21,"TomÃ¡s Tanaka","Tomas Tanaka")</f>
        <v>Priya Herrera</v>
      </c>
      <c r="J21" t="s">
        <v>36</v>
      </c>
    </row>
    <row r="22" spans="1:10" x14ac:dyDescent="0.2">
      <c r="A22" t="s">
        <v>50</v>
      </c>
      <c r="B22" s="1">
        <v>46128</v>
      </c>
      <c r="C22" t="s">
        <v>39</v>
      </c>
      <c r="D22">
        <v>3</v>
      </c>
      <c r="E22">
        <v>63.19</v>
      </c>
      <c r="F22">
        <v>189.57</v>
      </c>
      <c r="G22" t="s">
        <v>14</v>
      </c>
      <c r="H22" t="str">
        <f>SUBSTITUTE(J22,"TomÃ¡s Tanaka","Tomas Tanaka")</f>
        <v>Sofia Kowalski</v>
      </c>
      <c r="J22" t="s">
        <v>11</v>
      </c>
    </row>
    <row r="23" spans="1:10" x14ac:dyDescent="0.2">
      <c r="A23" t="s">
        <v>51</v>
      </c>
      <c r="B23" s="1">
        <v>46098</v>
      </c>
      <c r="C23" t="s">
        <v>44</v>
      </c>
      <c r="D23">
        <v>3</v>
      </c>
      <c r="E23">
        <v>36.67</v>
      </c>
      <c r="F23">
        <v>110.01</v>
      </c>
      <c r="G23" t="s">
        <v>20</v>
      </c>
      <c r="H23" t="str">
        <f>SUBSTITUTE(J23,"TomÃ¡s Tanaka","Tomas Tanaka")</f>
        <v>Tomas Tanaka</v>
      </c>
      <c r="J23" t="s">
        <v>285</v>
      </c>
    </row>
    <row r="24" spans="1:10" x14ac:dyDescent="0.2">
      <c r="A24" t="s">
        <v>52</v>
      </c>
      <c r="B24" s="1">
        <v>46107</v>
      </c>
      <c r="C24" t="s">
        <v>13</v>
      </c>
      <c r="D24">
        <v>2</v>
      </c>
      <c r="E24">
        <v>179.02</v>
      </c>
      <c r="F24">
        <v>358.04</v>
      </c>
      <c r="G24" t="s">
        <v>23</v>
      </c>
      <c r="H24" t="str">
        <f>SUBSTITUTE(J24,"TomÃ¡s Tanaka","Tomas Tanaka")</f>
        <v>Omar Haddad</v>
      </c>
      <c r="J24" t="s">
        <v>21</v>
      </c>
    </row>
    <row r="25" spans="1:10" x14ac:dyDescent="0.2">
      <c r="A25" t="s">
        <v>53</v>
      </c>
      <c r="B25" s="1">
        <v>46111</v>
      </c>
      <c r="C25" t="s">
        <v>25</v>
      </c>
      <c r="D25">
        <v>1</v>
      </c>
      <c r="E25">
        <v>54.88</v>
      </c>
      <c r="F25">
        <v>54.88</v>
      </c>
      <c r="G25" t="s">
        <v>23</v>
      </c>
      <c r="H25" t="str">
        <f>SUBSTITUTE(J25,"TomÃ¡s Tanaka","Tomas Tanaka")</f>
        <v>Elena Cohen</v>
      </c>
      <c r="J25" t="s">
        <v>17</v>
      </c>
    </row>
    <row r="26" spans="1:10" x14ac:dyDescent="0.2">
      <c r="A26" t="s">
        <v>54</v>
      </c>
      <c r="B26" s="1">
        <v>46201</v>
      </c>
      <c r="C26" t="s">
        <v>33</v>
      </c>
      <c r="D26">
        <v>4</v>
      </c>
      <c r="E26">
        <v>161.26</v>
      </c>
      <c r="F26">
        <v>645.04</v>
      </c>
      <c r="G26" t="s">
        <v>20</v>
      </c>
      <c r="H26" t="str">
        <f>SUBSTITUTE(J26,"TomÃ¡s Tanaka","Tomas Tanaka")</f>
        <v>Elena Cohen</v>
      </c>
      <c r="J26" t="s">
        <v>17</v>
      </c>
    </row>
    <row r="27" spans="1:10" x14ac:dyDescent="0.2">
      <c r="A27" t="s">
        <v>55</v>
      </c>
      <c r="B27" s="1">
        <v>46163</v>
      </c>
      <c r="C27" t="s">
        <v>33</v>
      </c>
      <c r="D27">
        <v>5</v>
      </c>
      <c r="E27">
        <v>214.71</v>
      </c>
      <c r="F27">
        <v>1073.55</v>
      </c>
      <c r="G27" t="s">
        <v>26</v>
      </c>
      <c r="H27" t="str">
        <f>SUBSTITUTE(J27,"TomÃ¡s Tanaka","Tomas Tanaka")</f>
        <v>Sofia Kowalski</v>
      </c>
      <c r="J27" t="s">
        <v>11</v>
      </c>
    </row>
    <row r="28" spans="1:10" x14ac:dyDescent="0.2">
      <c r="A28" t="s">
        <v>56</v>
      </c>
      <c r="B28" s="1">
        <v>46064</v>
      </c>
      <c r="C28" t="s">
        <v>39</v>
      </c>
      <c r="D28">
        <v>5</v>
      </c>
      <c r="E28">
        <v>12.96</v>
      </c>
      <c r="F28">
        <v>64.8</v>
      </c>
      <c r="G28" t="s">
        <v>23</v>
      </c>
      <c r="H28" t="str">
        <f>SUBSTITUTE(J28,"TomÃ¡s Tanaka","Tomas Tanaka")</f>
        <v>Sofia Kowalski</v>
      </c>
      <c r="J28" t="s">
        <v>11</v>
      </c>
    </row>
    <row r="29" spans="1:10" x14ac:dyDescent="0.2">
      <c r="A29" t="s">
        <v>57</v>
      </c>
      <c r="B29" s="1">
        <v>46040</v>
      </c>
      <c r="C29" t="s">
        <v>28</v>
      </c>
      <c r="D29">
        <v>5</v>
      </c>
      <c r="E29">
        <v>68.38</v>
      </c>
      <c r="F29">
        <v>341.9</v>
      </c>
      <c r="G29" t="s">
        <v>23</v>
      </c>
      <c r="H29" t="str">
        <f>SUBSTITUTE(J29,"TomÃ¡s Tanaka","Tomas Tanaka")</f>
        <v>Priya Herrera</v>
      </c>
      <c r="J29" t="s">
        <v>36</v>
      </c>
    </row>
    <row r="30" spans="1:10" x14ac:dyDescent="0.2">
      <c r="A30" t="s">
        <v>58</v>
      </c>
      <c r="B30" s="1">
        <v>46194</v>
      </c>
      <c r="C30" t="s">
        <v>9</v>
      </c>
      <c r="D30">
        <v>4</v>
      </c>
      <c r="E30">
        <v>30.61</v>
      </c>
      <c r="F30">
        <v>122.44</v>
      </c>
      <c r="G30" t="s">
        <v>23</v>
      </c>
      <c r="H30" t="str">
        <f>SUBSTITUTE(J30,"TomÃ¡s Tanaka","Tomas Tanaka")</f>
        <v>Elena Cohen</v>
      </c>
      <c r="J30" t="s">
        <v>17</v>
      </c>
    </row>
    <row r="31" spans="1:10" x14ac:dyDescent="0.2">
      <c r="A31" t="s">
        <v>59</v>
      </c>
      <c r="B31" s="1">
        <v>46046</v>
      </c>
      <c r="C31" t="s">
        <v>9</v>
      </c>
      <c r="D31">
        <v>8</v>
      </c>
      <c r="E31">
        <v>103.99</v>
      </c>
      <c r="F31">
        <v>831.92</v>
      </c>
      <c r="G31" t="s">
        <v>23</v>
      </c>
      <c r="H31" t="str">
        <f>SUBSTITUTE(J31,"TomÃ¡s Tanaka","Tomas Tanaka")</f>
        <v>Priya Herrera</v>
      </c>
      <c r="J31" t="s">
        <v>36</v>
      </c>
    </row>
    <row r="32" spans="1:10" x14ac:dyDescent="0.2">
      <c r="A32" t="s">
        <v>60</v>
      </c>
      <c r="B32" s="1">
        <v>46067</v>
      </c>
      <c r="C32" t="s">
        <v>25</v>
      </c>
      <c r="D32">
        <v>1</v>
      </c>
      <c r="E32">
        <v>217.69</v>
      </c>
      <c r="F32">
        <v>217.69</v>
      </c>
      <c r="G32" t="s">
        <v>23</v>
      </c>
      <c r="H32" t="str">
        <f>SUBSTITUTE(J32,"TomÃ¡s Tanaka","Tomas Tanaka")</f>
        <v>Elena Cohen</v>
      </c>
      <c r="J32" t="s">
        <v>17</v>
      </c>
    </row>
    <row r="33" spans="1:10" x14ac:dyDescent="0.2">
      <c r="A33" t="s">
        <v>61</v>
      </c>
      <c r="B33" s="1">
        <v>46186</v>
      </c>
      <c r="C33" t="s">
        <v>39</v>
      </c>
      <c r="D33">
        <v>4</v>
      </c>
      <c r="E33">
        <v>248.32</v>
      </c>
      <c r="F33">
        <v>993.28</v>
      </c>
      <c r="G33" t="s">
        <v>10</v>
      </c>
      <c r="H33" t="str">
        <f>SUBSTITUTE(J33,"TomÃ¡s Tanaka","Tomas Tanaka")</f>
        <v>Chen Bennett</v>
      </c>
      <c r="J33" t="s">
        <v>40</v>
      </c>
    </row>
    <row r="34" spans="1:10" x14ac:dyDescent="0.2">
      <c r="A34" t="s">
        <v>62</v>
      </c>
      <c r="B34" s="1">
        <v>46065</v>
      </c>
      <c r="C34" t="s">
        <v>33</v>
      </c>
      <c r="D34">
        <v>7</v>
      </c>
      <c r="E34">
        <v>197.63</v>
      </c>
      <c r="F34">
        <v>1383.41</v>
      </c>
      <c r="G34" t="s">
        <v>26</v>
      </c>
      <c r="H34" t="str">
        <f>SUBSTITUTE(J34,"TomÃ¡s Tanaka","Tomas Tanaka")</f>
        <v>Omar Haddad</v>
      </c>
      <c r="J34" t="s">
        <v>21</v>
      </c>
    </row>
    <row r="35" spans="1:10" x14ac:dyDescent="0.2">
      <c r="A35" t="s">
        <v>63</v>
      </c>
      <c r="B35" s="1">
        <v>46135</v>
      </c>
      <c r="C35" t="s">
        <v>64</v>
      </c>
      <c r="D35">
        <v>1</v>
      </c>
      <c r="E35">
        <v>153.5</v>
      </c>
      <c r="F35">
        <v>153.5</v>
      </c>
      <c r="G35" t="s">
        <v>20</v>
      </c>
      <c r="H35" t="str">
        <f>SUBSTITUTE(J35,"TomÃ¡s Tanaka","Tomas Tanaka")</f>
        <v>Sofia Kowalski</v>
      </c>
      <c r="J35" t="s">
        <v>11</v>
      </c>
    </row>
    <row r="36" spans="1:10" x14ac:dyDescent="0.2">
      <c r="A36" t="s">
        <v>65</v>
      </c>
      <c r="B36" s="1">
        <v>46201</v>
      </c>
      <c r="C36" t="s">
        <v>19</v>
      </c>
      <c r="D36">
        <v>4</v>
      </c>
      <c r="E36">
        <v>202.9</v>
      </c>
      <c r="F36">
        <v>811.6</v>
      </c>
      <c r="G36" t="s">
        <v>14</v>
      </c>
      <c r="H36" t="str">
        <f>SUBSTITUTE(J36,"TomÃ¡s Tanaka","Tomas Tanaka")</f>
        <v>Omar Haddad</v>
      </c>
      <c r="J36" t="s">
        <v>21</v>
      </c>
    </row>
    <row r="37" spans="1:10" x14ac:dyDescent="0.2">
      <c r="A37" t="s">
        <v>66</v>
      </c>
      <c r="B37" s="1">
        <v>46079</v>
      </c>
      <c r="C37" t="s">
        <v>39</v>
      </c>
      <c r="D37">
        <v>5</v>
      </c>
      <c r="E37">
        <v>135.96</v>
      </c>
      <c r="F37">
        <v>679.8</v>
      </c>
      <c r="G37" t="s">
        <v>23</v>
      </c>
      <c r="H37" t="str">
        <f>SUBSTITUTE(J37,"TomÃ¡s Tanaka","Tomas Tanaka")</f>
        <v>Chen Bennett</v>
      </c>
      <c r="J37" t="s">
        <v>40</v>
      </c>
    </row>
    <row r="38" spans="1:10" x14ac:dyDescent="0.2">
      <c r="A38" t="s">
        <v>67</v>
      </c>
      <c r="B38" s="1">
        <v>46024</v>
      </c>
      <c r="C38" t="s">
        <v>28</v>
      </c>
      <c r="D38">
        <v>6</v>
      </c>
      <c r="E38">
        <v>74.489999999999995</v>
      </c>
      <c r="F38">
        <v>446.94</v>
      </c>
      <c r="G38" t="s">
        <v>20</v>
      </c>
      <c r="H38" t="str">
        <f>SUBSTITUTE(J38,"TomÃ¡s Tanaka","Tomas Tanaka")</f>
        <v>Chen Bennett</v>
      </c>
      <c r="J38" t="s">
        <v>40</v>
      </c>
    </row>
    <row r="39" spans="1:10" x14ac:dyDescent="0.2">
      <c r="A39" t="s">
        <v>68</v>
      </c>
      <c r="B39" s="1">
        <v>46055</v>
      </c>
      <c r="C39" t="s">
        <v>39</v>
      </c>
      <c r="D39">
        <v>4</v>
      </c>
      <c r="E39">
        <v>115.64</v>
      </c>
      <c r="F39">
        <v>462.56</v>
      </c>
      <c r="G39" t="s">
        <v>20</v>
      </c>
      <c r="H39" t="str">
        <f>SUBSTITUTE(J39,"TomÃ¡s Tanaka","Tomas Tanaka")</f>
        <v>Elena Cohen</v>
      </c>
      <c r="J39" t="s">
        <v>17</v>
      </c>
    </row>
    <row r="40" spans="1:10" x14ac:dyDescent="0.2">
      <c r="A40" t="s">
        <v>69</v>
      </c>
      <c r="B40" s="1">
        <v>46182</v>
      </c>
      <c r="C40" t="s">
        <v>33</v>
      </c>
      <c r="D40">
        <v>5</v>
      </c>
      <c r="E40">
        <v>245.5</v>
      </c>
      <c r="F40">
        <v>1227.5</v>
      </c>
      <c r="G40" t="s">
        <v>23</v>
      </c>
      <c r="H40" t="str">
        <f>SUBSTITUTE(J40,"TomÃ¡s Tanaka","Tomas Tanaka")</f>
        <v>Elena Cohen</v>
      </c>
      <c r="J40" t="s">
        <v>17</v>
      </c>
    </row>
    <row r="41" spans="1:10" x14ac:dyDescent="0.2">
      <c r="A41" t="s">
        <v>70</v>
      </c>
      <c r="B41" s="1">
        <v>46142</v>
      </c>
      <c r="C41" t="s">
        <v>33</v>
      </c>
      <c r="D41">
        <v>5</v>
      </c>
      <c r="E41">
        <v>161.72</v>
      </c>
      <c r="F41">
        <v>808.6</v>
      </c>
      <c r="G41" t="s">
        <v>23</v>
      </c>
      <c r="H41" t="str">
        <f>SUBSTITUTE(J41,"TomÃ¡s Tanaka","Tomas Tanaka")</f>
        <v>Priya Herrera</v>
      </c>
      <c r="J41" t="s">
        <v>36</v>
      </c>
    </row>
    <row r="42" spans="1:10" x14ac:dyDescent="0.2">
      <c r="A42" t="s">
        <v>71</v>
      </c>
      <c r="B42" s="1">
        <v>46079</v>
      </c>
      <c r="C42" t="s">
        <v>31</v>
      </c>
      <c r="D42">
        <v>1</v>
      </c>
      <c r="E42">
        <v>213.38</v>
      </c>
      <c r="F42">
        <v>213.38</v>
      </c>
      <c r="G42" t="s">
        <v>20</v>
      </c>
      <c r="H42" t="str">
        <f>SUBSTITUTE(J42,"TomÃ¡s Tanaka","Tomas Tanaka")</f>
        <v>Sofia Kowalski</v>
      </c>
      <c r="J42" t="s">
        <v>11</v>
      </c>
    </row>
    <row r="43" spans="1:10" x14ac:dyDescent="0.2">
      <c r="A43" t="s">
        <v>72</v>
      </c>
      <c r="B43" s="1">
        <v>46151</v>
      </c>
      <c r="C43" t="s">
        <v>28</v>
      </c>
      <c r="D43">
        <v>3</v>
      </c>
      <c r="E43">
        <v>221.01</v>
      </c>
      <c r="F43">
        <v>663.03</v>
      </c>
      <c r="G43" t="s">
        <v>23</v>
      </c>
      <c r="H43" t="str">
        <f>SUBSTITUTE(J43,"TomÃ¡s Tanaka","Tomas Tanaka")</f>
        <v>Elena Cohen</v>
      </c>
      <c r="J43" t="s">
        <v>17</v>
      </c>
    </row>
    <row r="44" spans="1:10" x14ac:dyDescent="0.2">
      <c r="A44" t="s">
        <v>73</v>
      </c>
      <c r="B44" s="1">
        <v>46165</v>
      </c>
      <c r="C44" t="s">
        <v>19</v>
      </c>
      <c r="D44">
        <v>4</v>
      </c>
      <c r="E44">
        <v>158.94999999999999</v>
      </c>
      <c r="F44">
        <v>635.79999999999995</v>
      </c>
      <c r="G44" t="s">
        <v>10</v>
      </c>
      <c r="H44" t="str">
        <f>SUBSTITUTE(J44,"TomÃ¡s Tanaka","Tomas Tanaka")</f>
        <v>Elena Cohen</v>
      </c>
      <c r="J44" t="s">
        <v>17</v>
      </c>
    </row>
    <row r="45" spans="1:10" x14ac:dyDescent="0.2">
      <c r="A45" t="s">
        <v>74</v>
      </c>
      <c r="B45" s="1">
        <v>46054</v>
      </c>
      <c r="C45" t="s">
        <v>28</v>
      </c>
      <c r="D45">
        <v>5</v>
      </c>
      <c r="E45">
        <v>37.47</v>
      </c>
      <c r="F45">
        <v>187.35</v>
      </c>
      <c r="G45" t="s">
        <v>26</v>
      </c>
      <c r="H45" t="str">
        <f>SUBSTITUTE(J45,"TomÃ¡s Tanaka","Tomas Tanaka")</f>
        <v>Omar Haddad</v>
      </c>
      <c r="J45" t="s">
        <v>21</v>
      </c>
    </row>
    <row r="46" spans="1:10" x14ac:dyDescent="0.2">
      <c r="A46" t="s">
        <v>75</v>
      </c>
      <c r="B46" s="1">
        <v>46114</v>
      </c>
      <c r="C46" t="s">
        <v>39</v>
      </c>
      <c r="D46">
        <v>7</v>
      </c>
      <c r="E46">
        <v>124.94</v>
      </c>
      <c r="F46">
        <v>874.58</v>
      </c>
      <c r="G46" t="s">
        <v>14</v>
      </c>
      <c r="H46" t="str">
        <f>SUBSTITUTE(J46,"TomÃ¡s Tanaka","Tomas Tanaka")</f>
        <v>Sofia Kowalski</v>
      </c>
      <c r="J46" t="s">
        <v>11</v>
      </c>
    </row>
    <row r="47" spans="1:10" x14ac:dyDescent="0.2">
      <c r="A47" t="s">
        <v>76</v>
      </c>
      <c r="B47" s="1">
        <v>46153</v>
      </c>
      <c r="C47" t="s">
        <v>16</v>
      </c>
      <c r="D47">
        <v>1</v>
      </c>
      <c r="E47">
        <v>80.58</v>
      </c>
      <c r="F47">
        <v>80.58</v>
      </c>
      <c r="G47" t="s">
        <v>26</v>
      </c>
      <c r="H47" t="str">
        <f>SUBSTITUTE(J47,"TomÃ¡s Tanaka","Tomas Tanaka")</f>
        <v>Chen Bennett</v>
      </c>
      <c r="J47" t="s">
        <v>40</v>
      </c>
    </row>
    <row r="48" spans="1:10" x14ac:dyDescent="0.2">
      <c r="A48" t="s">
        <v>77</v>
      </c>
      <c r="B48" s="1">
        <v>46052</v>
      </c>
      <c r="C48" t="s">
        <v>44</v>
      </c>
      <c r="D48">
        <v>7</v>
      </c>
      <c r="E48">
        <v>143.93</v>
      </c>
      <c r="F48">
        <v>1007.51</v>
      </c>
      <c r="G48" t="s">
        <v>20</v>
      </c>
      <c r="H48" t="str">
        <f>SUBSTITUTE(J48,"TomÃ¡s Tanaka","Tomas Tanaka")</f>
        <v>Sofia Kowalski</v>
      </c>
      <c r="J48" t="s">
        <v>11</v>
      </c>
    </row>
    <row r="49" spans="1:10" x14ac:dyDescent="0.2">
      <c r="A49" t="s">
        <v>78</v>
      </c>
      <c r="B49" s="1">
        <v>46026</v>
      </c>
      <c r="C49" t="s">
        <v>35</v>
      </c>
      <c r="D49">
        <v>1</v>
      </c>
      <c r="E49">
        <v>151.12</v>
      </c>
      <c r="F49">
        <v>151.12</v>
      </c>
      <c r="G49" t="s">
        <v>26</v>
      </c>
      <c r="H49" t="str">
        <f>SUBSTITUTE(J49,"TomÃ¡s Tanaka","Tomas Tanaka")</f>
        <v>Tomas Tanaka</v>
      </c>
      <c r="J49" t="s">
        <v>285</v>
      </c>
    </row>
    <row r="50" spans="1:10" x14ac:dyDescent="0.2">
      <c r="A50" t="s">
        <v>79</v>
      </c>
      <c r="B50" s="1">
        <v>46124</v>
      </c>
      <c r="C50" t="s">
        <v>28</v>
      </c>
      <c r="D50">
        <v>4</v>
      </c>
      <c r="E50">
        <v>84.27</v>
      </c>
      <c r="F50">
        <v>337.08</v>
      </c>
      <c r="G50" t="s">
        <v>14</v>
      </c>
      <c r="H50" t="str">
        <f>SUBSTITUTE(J50,"TomÃ¡s Tanaka","Tomas Tanaka")</f>
        <v>Omar Haddad</v>
      </c>
      <c r="J50" t="s">
        <v>21</v>
      </c>
    </row>
    <row r="51" spans="1:10" x14ac:dyDescent="0.2">
      <c r="A51" t="s">
        <v>80</v>
      </c>
      <c r="B51" s="1">
        <v>46049</v>
      </c>
      <c r="C51" t="s">
        <v>39</v>
      </c>
      <c r="D51">
        <v>1</v>
      </c>
      <c r="E51">
        <v>96.96</v>
      </c>
      <c r="F51">
        <v>96.96</v>
      </c>
      <c r="G51" t="s">
        <v>10</v>
      </c>
      <c r="H51" t="str">
        <f>SUBSTITUTE(J51,"TomÃ¡s Tanaka","Tomas Tanaka")</f>
        <v>Sofia Kowalski</v>
      </c>
      <c r="J51" t="s">
        <v>11</v>
      </c>
    </row>
    <row r="52" spans="1:10" x14ac:dyDescent="0.2">
      <c r="A52" t="s">
        <v>81</v>
      </c>
      <c r="B52" s="1">
        <v>46038</v>
      </c>
      <c r="C52" t="s">
        <v>35</v>
      </c>
      <c r="D52">
        <v>7</v>
      </c>
      <c r="E52">
        <v>155.38999999999999</v>
      </c>
      <c r="F52">
        <v>1087.73</v>
      </c>
      <c r="G52" t="s">
        <v>23</v>
      </c>
      <c r="H52" t="str">
        <f>SUBSTITUTE(J52,"TomÃ¡s Tanaka","Tomas Tanaka")</f>
        <v>Omar Haddad</v>
      </c>
      <c r="J52" t="s">
        <v>21</v>
      </c>
    </row>
    <row r="53" spans="1:10" x14ac:dyDescent="0.2">
      <c r="A53" t="s">
        <v>82</v>
      </c>
      <c r="B53" s="1">
        <v>46085</v>
      </c>
      <c r="C53" t="s">
        <v>9</v>
      </c>
      <c r="D53">
        <v>3</v>
      </c>
      <c r="E53">
        <v>125.54</v>
      </c>
      <c r="F53">
        <v>376.62</v>
      </c>
      <c r="G53" t="s">
        <v>20</v>
      </c>
      <c r="H53" t="str">
        <f>SUBSTITUTE(J53,"TomÃ¡s Tanaka","Tomas Tanaka")</f>
        <v>Sofia Kowalski</v>
      </c>
      <c r="J53" t="s">
        <v>11</v>
      </c>
    </row>
    <row r="54" spans="1:10" x14ac:dyDescent="0.2">
      <c r="A54" t="s">
        <v>83</v>
      </c>
      <c r="B54" s="1">
        <v>46103</v>
      </c>
      <c r="C54" t="s">
        <v>35</v>
      </c>
      <c r="D54">
        <v>5</v>
      </c>
      <c r="E54">
        <v>70.790000000000006</v>
      </c>
      <c r="F54">
        <v>353.95</v>
      </c>
      <c r="G54" t="s">
        <v>20</v>
      </c>
      <c r="H54" t="str">
        <f>SUBSTITUTE(J54,"TomÃ¡s Tanaka","Tomas Tanaka")</f>
        <v>Tomas Tanaka</v>
      </c>
      <c r="J54" t="s">
        <v>285</v>
      </c>
    </row>
    <row r="55" spans="1:10" x14ac:dyDescent="0.2">
      <c r="A55" t="s">
        <v>84</v>
      </c>
      <c r="B55" s="1">
        <v>46151</v>
      </c>
      <c r="C55" t="s">
        <v>31</v>
      </c>
      <c r="D55">
        <v>6</v>
      </c>
      <c r="E55">
        <v>204.83</v>
      </c>
      <c r="F55">
        <v>1228.98</v>
      </c>
      <c r="G55" t="s">
        <v>23</v>
      </c>
      <c r="H55" t="str">
        <f>SUBSTITUTE(J55,"TomÃ¡s Tanaka","Tomas Tanaka")</f>
        <v>Sofia Kowalski</v>
      </c>
      <c r="J55" t="s">
        <v>11</v>
      </c>
    </row>
    <row r="56" spans="1:10" x14ac:dyDescent="0.2">
      <c r="A56" t="s">
        <v>85</v>
      </c>
      <c r="B56" s="1">
        <v>46196</v>
      </c>
      <c r="C56" t="s">
        <v>44</v>
      </c>
      <c r="D56">
        <v>8</v>
      </c>
      <c r="E56">
        <v>190.17</v>
      </c>
      <c r="F56">
        <v>1521.36</v>
      </c>
      <c r="G56" t="s">
        <v>14</v>
      </c>
      <c r="H56" t="str">
        <f>SUBSTITUTE(J56,"TomÃ¡s Tanaka","Tomas Tanaka")</f>
        <v>Sofia Kowalski</v>
      </c>
      <c r="J56" t="s">
        <v>11</v>
      </c>
    </row>
    <row r="57" spans="1:10" x14ac:dyDescent="0.2">
      <c r="A57" t="s">
        <v>86</v>
      </c>
      <c r="B57" s="1">
        <v>46182</v>
      </c>
      <c r="C57" t="s">
        <v>64</v>
      </c>
      <c r="D57">
        <v>7</v>
      </c>
      <c r="E57">
        <v>239.78</v>
      </c>
      <c r="F57">
        <v>1678.46</v>
      </c>
      <c r="G57" t="s">
        <v>23</v>
      </c>
      <c r="H57" t="str">
        <f>SUBSTITUTE(J57,"TomÃ¡s Tanaka","Tomas Tanaka")</f>
        <v>Sofia Kowalski</v>
      </c>
      <c r="J57" t="s">
        <v>11</v>
      </c>
    </row>
    <row r="58" spans="1:10" x14ac:dyDescent="0.2">
      <c r="A58" t="s">
        <v>87</v>
      </c>
      <c r="B58" s="1">
        <v>46115</v>
      </c>
      <c r="C58" t="s">
        <v>39</v>
      </c>
      <c r="D58">
        <v>8</v>
      </c>
      <c r="E58">
        <v>14</v>
      </c>
      <c r="F58">
        <v>112</v>
      </c>
      <c r="G58" t="s">
        <v>26</v>
      </c>
      <c r="H58" t="str">
        <f>SUBSTITUTE(J58,"TomÃ¡s Tanaka","Tomas Tanaka")</f>
        <v>Chen Bennett</v>
      </c>
      <c r="J58" t="s">
        <v>40</v>
      </c>
    </row>
    <row r="59" spans="1:10" x14ac:dyDescent="0.2">
      <c r="A59" t="s">
        <v>88</v>
      </c>
      <c r="B59" s="1">
        <v>46193</v>
      </c>
      <c r="C59" t="s">
        <v>39</v>
      </c>
      <c r="D59">
        <v>2</v>
      </c>
      <c r="E59">
        <v>191.22</v>
      </c>
      <c r="F59">
        <v>382.44</v>
      </c>
      <c r="G59" t="s">
        <v>23</v>
      </c>
      <c r="H59" t="str">
        <f>SUBSTITUTE(J59,"TomÃ¡s Tanaka","Tomas Tanaka")</f>
        <v>Tomas Tanaka</v>
      </c>
      <c r="J59" t="s">
        <v>285</v>
      </c>
    </row>
    <row r="60" spans="1:10" x14ac:dyDescent="0.2">
      <c r="A60" t="s">
        <v>89</v>
      </c>
      <c r="B60" s="1">
        <v>46184</v>
      </c>
      <c r="C60" t="s">
        <v>19</v>
      </c>
      <c r="D60">
        <v>2</v>
      </c>
      <c r="E60">
        <v>183.47</v>
      </c>
      <c r="F60">
        <v>366.94</v>
      </c>
      <c r="G60" t="s">
        <v>26</v>
      </c>
      <c r="H60" t="str">
        <f>SUBSTITUTE(J60,"TomÃ¡s Tanaka","Tomas Tanaka")</f>
        <v>Tomas Tanaka</v>
      </c>
      <c r="J60" t="s">
        <v>285</v>
      </c>
    </row>
    <row r="61" spans="1:10" x14ac:dyDescent="0.2">
      <c r="A61" t="s">
        <v>90</v>
      </c>
      <c r="B61" s="1">
        <v>46185</v>
      </c>
      <c r="C61" t="s">
        <v>64</v>
      </c>
      <c r="D61">
        <v>2</v>
      </c>
      <c r="E61">
        <v>36.29</v>
      </c>
      <c r="F61">
        <v>72.58</v>
      </c>
      <c r="G61" t="s">
        <v>14</v>
      </c>
      <c r="H61" t="str">
        <f>SUBSTITUTE(J61,"TomÃ¡s Tanaka","Tomas Tanaka")</f>
        <v>Priya Herrera</v>
      </c>
      <c r="J61" t="s">
        <v>36</v>
      </c>
    </row>
    <row r="62" spans="1:10" x14ac:dyDescent="0.2">
      <c r="A62" t="s">
        <v>91</v>
      </c>
      <c r="B62" s="1">
        <v>46139</v>
      </c>
      <c r="C62" t="s">
        <v>28</v>
      </c>
      <c r="D62">
        <v>7</v>
      </c>
      <c r="E62">
        <v>208.15</v>
      </c>
      <c r="F62">
        <v>1457.05</v>
      </c>
      <c r="G62" t="s">
        <v>10</v>
      </c>
      <c r="H62" t="str">
        <f>SUBSTITUTE(J62,"TomÃ¡s Tanaka","Tomas Tanaka")</f>
        <v>Tomas Tanaka</v>
      </c>
      <c r="J62" t="s">
        <v>285</v>
      </c>
    </row>
    <row r="63" spans="1:10" x14ac:dyDescent="0.2">
      <c r="A63" t="s">
        <v>92</v>
      </c>
      <c r="B63" s="1">
        <v>46032</v>
      </c>
      <c r="C63" t="s">
        <v>33</v>
      </c>
      <c r="D63">
        <v>5</v>
      </c>
      <c r="E63">
        <v>103.77</v>
      </c>
      <c r="F63">
        <v>518.85</v>
      </c>
      <c r="G63" t="s">
        <v>20</v>
      </c>
      <c r="H63" t="str">
        <f>SUBSTITUTE(J63,"TomÃ¡s Tanaka","Tomas Tanaka")</f>
        <v>Elena Cohen</v>
      </c>
      <c r="J63" t="s">
        <v>17</v>
      </c>
    </row>
    <row r="64" spans="1:10" x14ac:dyDescent="0.2">
      <c r="A64" t="s">
        <v>93</v>
      </c>
      <c r="B64" s="1">
        <v>46113</v>
      </c>
      <c r="C64" t="s">
        <v>28</v>
      </c>
      <c r="D64">
        <v>7</v>
      </c>
      <c r="E64">
        <v>229.06</v>
      </c>
      <c r="F64">
        <v>1603.42</v>
      </c>
      <c r="G64" t="s">
        <v>20</v>
      </c>
      <c r="H64" t="str">
        <f>SUBSTITUTE(J64,"TomÃ¡s Tanaka","Tomas Tanaka")</f>
        <v>Elena Cohen</v>
      </c>
      <c r="J64" t="s">
        <v>17</v>
      </c>
    </row>
    <row r="65" spans="1:11" x14ac:dyDescent="0.2">
      <c r="A65" t="s">
        <v>94</v>
      </c>
      <c r="B65" s="1">
        <v>46183</v>
      </c>
      <c r="C65" t="s">
        <v>44</v>
      </c>
      <c r="D65">
        <v>6</v>
      </c>
      <c r="E65">
        <v>132.61000000000001</v>
      </c>
      <c r="F65">
        <v>795.66</v>
      </c>
      <c r="G65" t="s">
        <v>14</v>
      </c>
      <c r="H65" t="str">
        <f>SUBSTITUTE(J65,"TomÃ¡s Tanaka","Tomas Tanaka")</f>
        <v>Priya Herrera</v>
      </c>
      <c r="J65" t="s">
        <v>36</v>
      </c>
    </row>
    <row r="66" spans="1:11" x14ac:dyDescent="0.2">
      <c r="A66" t="s">
        <v>95</v>
      </c>
      <c r="B66" s="1">
        <v>46196</v>
      </c>
      <c r="C66" t="s">
        <v>39</v>
      </c>
      <c r="D66">
        <v>7</v>
      </c>
      <c r="E66">
        <v>213.29</v>
      </c>
      <c r="F66">
        <v>1493.03</v>
      </c>
      <c r="G66" t="s">
        <v>23</v>
      </c>
      <c r="H66" t="str">
        <f>SUBSTITUTE(J66,"TomÃ¡s Tanaka","Tomas Tanaka")</f>
        <v>Omar Haddad</v>
      </c>
      <c r="J66" t="s">
        <v>21</v>
      </c>
    </row>
    <row r="67" spans="1:11" x14ac:dyDescent="0.2">
      <c r="A67" t="s">
        <v>96</v>
      </c>
      <c r="B67" s="1">
        <v>46169</v>
      </c>
      <c r="C67" t="s">
        <v>35</v>
      </c>
      <c r="D67">
        <v>4</v>
      </c>
      <c r="E67">
        <v>105.37</v>
      </c>
      <c r="F67">
        <v>421.48</v>
      </c>
      <c r="G67" t="s">
        <v>14</v>
      </c>
      <c r="H67" t="str">
        <f>SUBSTITUTE(J67,"TomÃ¡s Tanaka","Tomas Tanaka")</f>
        <v>Chen Bennett</v>
      </c>
      <c r="J67" t="s">
        <v>40</v>
      </c>
    </row>
    <row r="68" spans="1:11" x14ac:dyDescent="0.2">
      <c r="A68" t="s">
        <v>97</v>
      </c>
      <c r="B68" s="1">
        <v>46071</v>
      </c>
      <c r="C68" t="s">
        <v>31</v>
      </c>
      <c r="D68">
        <v>1</v>
      </c>
      <c r="E68">
        <v>55.16</v>
      </c>
      <c r="F68">
        <v>55.16</v>
      </c>
      <c r="G68" t="s">
        <v>26</v>
      </c>
      <c r="H68" t="str">
        <f>SUBSTITUTE(J68,"TomÃ¡s Tanaka","Tomas Tanaka")</f>
        <v>Chen Bennett</v>
      </c>
      <c r="J68" t="s">
        <v>40</v>
      </c>
    </row>
    <row r="69" spans="1:11" x14ac:dyDescent="0.2">
      <c r="A69" t="s">
        <v>98</v>
      </c>
      <c r="B69" s="1">
        <v>46098</v>
      </c>
      <c r="C69" t="s">
        <v>31</v>
      </c>
      <c r="D69">
        <v>8</v>
      </c>
      <c r="E69">
        <v>150.91</v>
      </c>
      <c r="F69">
        <v>1207.28</v>
      </c>
      <c r="G69" t="s">
        <v>10</v>
      </c>
      <c r="H69" t="str">
        <f>SUBSTITUTE(J69,"TomÃ¡s Tanaka","Tomas Tanaka")</f>
        <v>Priya Herrera</v>
      </c>
      <c r="J69" t="s">
        <v>36</v>
      </c>
    </row>
    <row r="70" spans="1:11" x14ac:dyDescent="0.2">
      <c r="A70" t="s">
        <v>99</v>
      </c>
      <c r="B70" s="1">
        <v>46137</v>
      </c>
      <c r="C70" t="s">
        <v>44</v>
      </c>
      <c r="D70">
        <v>8</v>
      </c>
      <c r="E70">
        <v>55.16</v>
      </c>
      <c r="F70">
        <v>441.28</v>
      </c>
      <c r="G70" t="s">
        <v>10</v>
      </c>
      <c r="H70" t="str">
        <f>SUBSTITUTE(J70,"TomÃ¡s Tanaka","Tomas Tanaka")</f>
        <v>Elena Cohen</v>
      </c>
      <c r="J70" t="s">
        <v>17</v>
      </c>
    </row>
    <row r="71" spans="1:11" x14ac:dyDescent="0.2">
      <c r="A71" t="s">
        <v>100</v>
      </c>
      <c r="B71" s="1">
        <v>46147</v>
      </c>
      <c r="C71" t="s">
        <v>33</v>
      </c>
      <c r="D71">
        <v>8</v>
      </c>
      <c r="E71">
        <v>114.94</v>
      </c>
      <c r="F71">
        <v>919.52</v>
      </c>
      <c r="G71" t="s">
        <v>26</v>
      </c>
      <c r="H71" t="str">
        <f>SUBSTITUTE(J71,"TomÃ¡s Tanaka","Tomas Tanaka")</f>
        <v>Tomas Tanaka</v>
      </c>
      <c r="J71" t="s">
        <v>29</v>
      </c>
    </row>
    <row r="72" spans="1:11" x14ac:dyDescent="0.2">
      <c r="A72" t="s">
        <v>101</v>
      </c>
      <c r="B72" s="1">
        <v>46043</v>
      </c>
      <c r="C72" t="s">
        <v>44</v>
      </c>
      <c r="D72">
        <v>7</v>
      </c>
      <c r="E72">
        <v>123.53</v>
      </c>
      <c r="F72">
        <v>864.71</v>
      </c>
      <c r="G72" t="s">
        <v>20</v>
      </c>
      <c r="H72" t="str">
        <f>SUBSTITUTE(J72,"TomÃ¡s Tanaka","Tomas Tanaka")</f>
        <v>Priya Herrera</v>
      </c>
      <c r="J72" t="s">
        <v>36</v>
      </c>
      <c r="K72" t="str">
        <f t="shared" ref="K72" si="0">SUBSTITUTE(I72,"TomÃ¡s Tanaka","Tomas Tanaka")</f>
        <v/>
      </c>
    </row>
    <row r="73" spans="1:11" x14ac:dyDescent="0.2">
      <c r="A73" t="s">
        <v>102</v>
      </c>
      <c r="B73" s="1">
        <v>46133</v>
      </c>
      <c r="C73" t="s">
        <v>9</v>
      </c>
      <c r="D73">
        <v>6</v>
      </c>
      <c r="E73">
        <v>106.03</v>
      </c>
      <c r="F73">
        <v>636.17999999999995</v>
      </c>
      <c r="G73" t="s">
        <v>10</v>
      </c>
      <c r="H73" t="str">
        <f>SUBSTITUTE(J73,"TomÃ¡s Tanaka","Tomas Tanaka")</f>
        <v>Tomas Tanaka</v>
      </c>
      <c r="J73" t="s">
        <v>29</v>
      </c>
      <c r="K73" t="str">
        <f t="shared" ref="K73:K136" si="1">SUBSTITUTE(I73,"TomÃ¡s Tanaka","Tomas Tanaka")</f>
        <v/>
      </c>
    </row>
    <row r="74" spans="1:11" x14ac:dyDescent="0.2">
      <c r="A74" t="s">
        <v>103</v>
      </c>
      <c r="B74" s="1">
        <v>46069</v>
      </c>
      <c r="C74" t="s">
        <v>39</v>
      </c>
      <c r="D74">
        <v>8</v>
      </c>
      <c r="E74">
        <v>179.22</v>
      </c>
      <c r="F74">
        <v>1433.76</v>
      </c>
      <c r="G74" t="s">
        <v>23</v>
      </c>
      <c r="H74" t="str">
        <f>SUBSTITUTE(J74,"TomÃ¡s Tanaka","Tomas Tanaka")</f>
        <v>Tomas Tanaka</v>
      </c>
      <c r="J74" t="s">
        <v>29</v>
      </c>
      <c r="K74" t="str">
        <f t="shared" si="1"/>
        <v/>
      </c>
    </row>
    <row r="75" spans="1:11" x14ac:dyDescent="0.2">
      <c r="A75" t="s">
        <v>104</v>
      </c>
      <c r="B75" s="1">
        <v>46133</v>
      </c>
      <c r="C75" t="s">
        <v>33</v>
      </c>
      <c r="D75">
        <v>7</v>
      </c>
      <c r="E75">
        <v>162.66</v>
      </c>
      <c r="F75">
        <v>1138.6199999999999</v>
      </c>
      <c r="G75" t="s">
        <v>10</v>
      </c>
      <c r="H75" t="str">
        <f>SUBSTITUTE(J75,"TomÃ¡s Tanaka","Tomas Tanaka")</f>
        <v>Chen Bennett</v>
      </c>
      <c r="J75" t="s">
        <v>40</v>
      </c>
      <c r="K75" t="str">
        <f t="shared" si="1"/>
        <v/>
      </c>
    </row>
    <row r="76" spans="1:11" x14ac:dyDescent="0.2">
      <c r="A76" t="s">
        <v>105</v>
      </c>
      <c r="B76" s="1">
        <v>46144</v>
      </c>
      <c r="C76" t="s">
        <v>35</v>
      </c>
      <c r="D76">
        <v>5</v>
      </c>
      <c r="E76">
        <v>207.98</v>
      </c>
      <c r="F76">
        <v>1039.9000000000001</v>
      </c>
      <c r="G76" t="s">
        <v>26</v>
      </c>
      <c r="H76" t="str">
        <f>SUBSTITUTE(J76,"TomÃ¡s Tanaka","Tomas Tanaka")</f>
        <v>Sofia Kowalski</v>
      </c>
      <c r="J76" t="s">
        <v>11</v>
      </c>
      <c r="K76" t="str">
        <f t="shared" si="1"/>
        <v/>
      </c>
    </row>
    <row r="77" spans="1:11" x14ac:dyDescent="0.2">
      <c r="A77" t="s">
        <v>106</v>
      </c>
      <c r="B77" s="1">
        <v>46160</v>
      </c>
      <c r="C77" t="s">
        <v>64</v>
      </c>
      <c r="D77">
        <v>7</v>
      </c>
      <c r="E77">
        <v>123.91</v>
      </c>
      <c r="F77">
        <v>867.37</v>
      </c>
      <c r="G77" t="s">
        <v>10</v>
      </c>
      <c r="H77" t="str">
        <f>SUBSTITUTE(J77,"TomÃ¡s Tanaka","Tomas Tanaka")</f>
        <v>Sofia Kowalski</v>
      </c>
      <c r="J77" t="s">
        <v>11</v>
      </c>
      <c r="K77" t="str">
        <f t="shared" si="1"/>
        <v/>
      </c>
    </row>
    <row r="78" spans="1:11" x14ac:dyDescent="0.2">
      <c r="A78" t="s">
        <v>107</v>
      </c>
      <c r="B78" s="1">
        <v>46158</v>
      </c>
      <c r="C78" t="s">
        <v>19</v>
      </c>
      <c r="D78">
        <v>4</v>
      </c>
      <c r="E78">
        <v>134.83000000000001</v>
      </c>
      <c r="F78">
        <v>539.32000000000005</v>
      </c>
      <c r="G78" t="s">
        <v>23</v>
      </c>
      <c r="H78" t="str">
        <f>SUBSTITUTE(J78,"TomÃ¡s Tanaka","Tomas Tanaka")</f>
        <v>Tomas Tanaka</v>
      </c>
      <c r="J78" t="s">
        <v>29</v>
      </c>
      <c r="K78" t="str">
        <f t="shared" si="1"/>
        <v/>
      </c>
    </row>
    <row r="79" spans="1:11" x14ac:dyDescent="0.2">
      <c r="A79" t="s">
        <v>108</v>
      </c>
      <c r="B79" s="1">
        <v>46163</v>
      </c>
      <c r="C79" t="s">
        <v>31</v>
      </c>
      <c r="D79">
        <v>6</v>
      </c>
      <c r="E79">
        <v>80.19</v>
      </c>
      <c r="F79">
        <v>481.14</v>
      </c>
      <c r="G79" t="s">
        <v>10</v>
      </c>
      <c r="H79" t="str">
        <f>SUBSTITUTE(J79,"TomÃ¡s Tanaka","Tomas Tanaka")</f>
        <v>Omar Haddad</v>
      </c>
      <c r="J79" t="s">
        <v>21</v>
      </c>
      <c r="K79" t="str">
        <f t="shared" si="1"/>
        <v/>
      </c>
    </row>
    <row r="80" spans="1:11" x14ac:dyDescent="0.2">
      <c r="A80" t="s">
        <v>109</v>
      </c>
      <c r="B80" s="1">
        <v>46116</v>
      </c>
      <c r="C80" t="s">
        <v>16</v>
      </c>
      <c r="D80">
        <v>6</v>
      </c>
      <c r="E80">
        <v>45.83</v>
      </c>
      <c r="F80">
        <v>274.98</v>
      </c>
      <c r="G80" t="s">
        <v>10</v>
      </c>
      <c r="H80" t="str">
        <f>SUBSTITUTE(J80,"TomÃ¡s Tanaka","Tomas Tanaka")</f>
        <v>Omar Haddad</v>
      </c>
      <c r="J80" t="s">
        <v>21</v>
      </c>
      <c r="K80" t="str">
        <f t="shared" si="1"/>
        <v/>
      </c>
    </row>
    <row r="81" spans="1:11" x14ac:dyDescent="0.2">
      <c r="A81" t="s">
        <v>110</v>
      </c>
      <c r="B81" s="1">
        <v>46093</v>
      </c>
      <c r="C81" t="s">
        <v>28</v>
      </c>
      <c r="D81">
        <v>7</v>
      </c>
      <c r="E81">
        <v>97.22</v>
      </c>
      <c r="F81">
        <v>680.54</v>
      </c>
      <c r="G81" t="s">
        <v>26</v>
      </c>
      <c r="H81" t="str">
        <f>SUBSTITUTE(J81,"TomÃ¡s Tanaka","Tomas Tanaka")</f>
        <v>Chen Bennett</v>
      </c>
      <c r="J81" t="s">
        <v>40</v>
      </c>
      <c r="K81" t="str">
        <f t="shared" si="1"/>
        <v/>
      </c>
    </row>
    <row r="82" spans="1:11" x14ac:dyDescent="0.2">
      <c r="A82" t="s">
        <v>111</v>
      </c>
      <c r="B82" s="1">
        <v>46100</v>
      </c>
      <c r="C82" t="s">
        <v>35</v>
      </c>
      <c r="D82">
        <v>7</v>
      </c>
      <c r="E82">
        <v>145.34</v>
      </c>
      <c r="F82">
        <v>1017.38</v>
      </c>
      <c r="G82" t="s">
        <v>14</v>
      </c>
      <c r="H82" t="str">
        <f>SUBSTITUTE(J82,"TomÃ¡s Tanaka","Tomas Tanaka")</f>
        <v>Chen Bennett</v>
      </c>
      <c r="J82" t="s">
        <v>40</v>
      </c>
      <c r="K82" t="str">
        <f t="shared" si="1"/>
        <v/>
      </c>
    </row>
    <row r="83" spans="1:11" x14ac:dyDescent="0.2">
      <c r="A83" t="s">
        <v>112</v>
      </c>
      <c r="B83" s="1">
        <v>46045</v>
      </c>
      <c r="C83" t="s">
        <v>13</v>
      </c>
      <c r="D83">
        <v>1</v>
      </c>
      <c r="E83">
        <v>78.430000000000007</v>
      </c>
      <c r="F83">
        <v>78.430000000000007</v>
      </c>
      <c r="G83" t="s">
        <v>20</v>
      </c>
      <c r="H83" t="str">
        <f>SUBSTITUTE(J83,"TomÃ¡s Tanaka","Tomas Tanaka")</f>
        <v>Elena Cohen</v>
      </c>
      <c r="J83" t="s">
        <v>17</v>
      </c>
      <c r="K83" t="str">
        <f t="shared" si="1"/>
        <v/>
      </c>
    </row>
    <row r="84" spans="1:11" x14ac:dyDescent="0.2">
      <c r="A84" t="s">
        <v>113</v>
      </c>
      <c r="B84" s="1">
        <v>46075</v>
      </c>
      <c r="C84" t="s">
        <v>35</v>
      </c>
      <c r="D84">
        <v>4</v>
      </c>
      <c r="E84">
        <v>24.31</v>
      </c>
      <c r="F84">
        <v>97.24</v>
      </c>
      <c r="G84" t="s">
        <v>14</v>
      </c>
      <c r="H84" t="str">
        <f>SUBSTITUTE(J84,"TomÃ¡s Tanaka","Tomas Tanaka")</f>
        <v>Priya Herrera</v>
      </c>
      <c r="J84" t="s">
        <v>36</v>
      </c>
      <c r="K84" t="str">
        <f t="shared" si="1"/>
        <v/>
      </c>
    </row>
    <row r="85" spans="1:11" x14ac:dyDescent="0.2">
      <c r="A85" t="s">
        <v>114</v>
      </c>
      <c r="B85" s="1">
        <v>46173</v>
      </c>
      <c r="C85" t="s">
        <v>25</v>
      </c>
      <c r="D85">
        <v>3</v>
      </c>
      <c r="E85">
        <v>110.73</v>
      </c>
      <c r="F85">
        <v>332.19</v>
      </c>
      <c r="G85" t="s">
        <v>26</v>
      </c>
      <c r="H85" t="str">
        <f>SUBSTITUTE(J85,"TomÃ¡s Tanaka","Tomas Tanaka")</f>
        <v>Sofia Kowalski</v>
      </c>
      <c r="J85" t="s">
        <v>11</v>
      </c>
      <c r="K85" t="str">
        <f t="shared" si="1"/>
        <v/>
      </c>
    </row>
    <row r="86" spans="1:11" x14ac:dyDescent="0.2">
      <c r="A86" t="s">
        <v>115</v>
      </c>
      <c r="B86" s="1">
        <v>46102</v>
      </c>
      <c r="C86" t="s">
        <v>44</v>
      </c>
      <c r="D86">
        <v>1</v>
      </c>
      <c r="E86">
        <v>211.31</v>
      </c>
      <c r="F86">
        <v>211.31</v>
      </c>
      <c r="G86" t="s">
        <v>23</v>
      </c>
      <c r="H86" t="str">
        <f>SUBSTITUTE(J86,"TomÃ¡s Tanaka","Tomas Tanaka")</f>
        <v>Chen Bennett</v>
      </c>
      <c r="J86" t="s">
        <v>40</v>
      </c>
      <c r="K86" t="str">
        <f t="shared" si="1"/>
        <v/>
      </c>
    </row>
    <row r="87" spans="1:11" x14ac:dyDescent="0.2">
      <c r="A87" t="s">
        <v>116</v>
      </c>
      <c r="B87" s="1">
        <v>46025</v>
      </c>
      <c r="C87" t="s">
        <v>19</v>
      </c>
      <c r="D87">
        <v>6</v>
      </c>
      <c r="E87">
        <v>129.28</v>
      </c>
      <c r="F87">
        <v>775.68</v>
      </c>
      <c r="G87" t="s">
        <v>14</v>
      </c>
      <c r="H87" t="str">
        <f>SUBSTITUTE(J87,"TomÃ¡s Tanaka","Tomas Tanaka")</f>
        <v>Elena Cohen</v>
      </c>
      <c r="J87" t="s">
        <v>17</v>
      </c>
      <c r="K87" t="str">
        <f t="shared" si="1"/>
        <v/>
      </c>
    </row>
    <row r="88" spans="1:11" x14ac:dyDescent="0.2">
      <c r="A88" t="s">
        <v>117</v>
      </c>
      <c r="B88" s="1">
        <v>46154</v>
      </c>
      <c r="C88" t="s">
        <v>19</v>
      </c>
      <c r="D88">
        <v>6</v>
      </c>
      <c r="E88">
        <v>119.41</v>
      </c>
      <c r="F88">
        <v>716.46</v>
      </c>
      <c r="G88" t="s">
        <v>20</v>
      </c>
      <c r="H88" t="str">
        <f>SUBSTITUTE(J88,"TomÃ¡s Tanaka","Tomas Tanaka")</f>
        <v>Chen Bennett</v>
      </c>
      <c r="J88" t="s">
        <v>40</v>
      </c>
      <c r="K88" t="str">
        <f t="shared" si="1"/>
        <v/>
      </c>
    </row>
    <row r="89" spans="1:11" x14ac:dyDescent="0.2">
      <c r="A89" t="s">
        <v>118</v>
      </c>
      <c r="B89" s="1">
        <v>46088</v>
      </c>
      <c r="C89" t="s">
        <v>28</v>
      </c>
      <c r="D89">
        <v>5</v>
      </c>
      <c r="E89">
        <v>247.06</v>
      </c>
      <c r="F89">
        <v>1235.3</v>
      </c>
      <c r="G89" t="s">
        <v>23</v>
      </c>
      <c r="H89" t="str">
        <f>SUBSTITUTE(J89,"TomÃ¡s Tanaka","Tomas Tanaka")</f>
        <v>Tomas Tanaka</v>
      </c>
      <c r="J89" t="s">
        <v>29</v>
      </c>
      <c r="K89" t="str">
        <f t="shared" si="1"/>
        <v/>
      </c>
    </row>
    <row r="90" spans="1:11" x14ac:dyDescent="0.2">
      <c r="A90" t="s">
        <v>119</v>
      </c>
      <c r="B90" s="1">
        <v>46199</v>
      </c>
      <c r="C90" t="s">
        <v>44</v>
      </c>
      <c r="D90">
        <v>8</v>
      </c>
      <c r="E90">
        <v>70.14</v>
      </c>
      <c r="F90">
        <v>561.12</v>
      </c>
      <c r="G90" t="s">
        <v>14</v>
      </c>
      <c r="H90" t="str">
        <f>SUBSTITUTE(J90,"TomÃ¡s Tanaka","Tomas Tanaka")</f>
        <v>Elena Cohen</v>
      </c>
      <c r="J90" t="s">
        <v>17</v>
      </c>
      <c r="K90" t="str">
        <f t="shared" si="1"/>
        <v/>
      </c>
    </row>
    <row r="91" spans="1:11" x14ac:dyDescent="0.2">
      <c r="A91" t="s">
        <v>120</v>
      </c>
      <c r="B91" s="1">
        <v>46058</v>
      </c>
      <c r="C91" t="s">
        <v>33</v>
      </c>
      <c r="D91">
        <v>8</v>
      </c>
      <c r="E91">
        <v>190.32</v>
      </c>
      <c r="F91">
        <v>1522.56</v>
      </c>
      <c r="G91" t="s">
        <v>26</v>
      </c>
      <c r="H91" t="str">
        <f>SUBSTITUTE(J91,"TomÃ¡s Tanaka","Tomas Tanaka")</f>
        <v>Tomas Tanaka</v>
      </c>
      <c r="J91" t="s">
        <v>29</v>
      </c>
      <c r="K91" t="str">
        <f t="shared" si="1"/>
        <v/>
      </c>
    </row>
    <row r="92" spans="1:11" x14ac:dyDescent="0.2">
      <c r="A92" t="s">
        <v>121</v>
      </c>
      <c r="B92" s="1">
        <v>46138</v>
      </c>
      <c r="C92" t="s">
        <v>33</v>
      </c>
      <c r="D92">
        <v>2</v>
      </c>
      <c r="E92">
        <v>47.23</v>
      </c>
      <c r="F92">
        <v>94.46</v>
      </c>
      <c r="G92" t="s">
        <v>23</v>
      </c>
      <c r="H92" t="str">
        <f>SUBSTITUTE(J92,"TomÃ¡s Tanaka","Tomas Tanaka")</f>
        <v>Sofia Kowalski</v>
      </c>
      <c r="J92" t="s">
        <v>11</v>
      </c>
      <c r="K92" t="str">
        <f t="shared" si="1"/>
        <v/>
      </c>
    </row>
    <row r="93" spans="1:11" x14ac:dyDescent="0.2">
      <c r="A93" t="s">
        <v>122</v>
      </c>
      <c r="B93" s="1">
        <v>46142</v>
      </c>
      <c r="C93" t="s">
        <v>39</v>
      </c>
      <c r="D93">
        <v>2</v>
      </c>
      <c r="E93">
        <v>129.16</v>
      </c>
      <c r="F93">
        <v>258.32</v>
      </c>
      <c r="G93" t="s">
        <v>20</v>
      </c>
      <c r="H93" t="str">
        <f>SUBSTITUTE(J93,"TomÃ¡s Tanaka","Tomas Tanaka")</f>
        <v>Sofia Kowalski</v>
      </c>
      <c r="J93" t="s">
        <v>11</v>
      </c>
      <c r="K93" t="str">
        <f t="shared" si="1"/>
        <v/>
      </c>
    </row>
    <row r="94" spans="1:11" x14ac:dyDescent="0.2">
      <c r="A94" t="s">
        <v>123</v>
      </c>
      <c r="B94" s="1">
        <v>46105</v>
      </c>
      <c r="C94" t="s">
        <v>39</v>
      </c>
      <c r="D94">
        <v>4</v>
      </c>
      <c r="E94">
        <v>204.21</v>
      </c>
      <c r="F94">
        <v>816.84</v>
      </c>
      <c r="G94" t="s">
        <v>10</v>
      </c>
      <c r="H94" t="str">
        <f>SUBSTITUTE(J94,"TomÃ¡s Tanaka","Tomas Tanaka")</f>
        <v>Priya Herrera</v>
      </c>
      <c r="J94" t="s">
        <v>36</v>
      </c>
      <c r="K94" t="str">
        <f t="shared" si="1"/>
        <v/>
      </c>
    </row>
    <row r="95" spans="1:11" x14ac:dyDescent="0.2">
      <c r="A95" t="s">
        <v>124</v>
      </c>
      <c r="B95" s="1">
        <v>46096</v>
      </c>
      <c r="C95" t="s">
        <v>31</v>
      </c>
      <c r="D95">
        <v>7</v>
      </c>
      <c r="E95">
        <v>101.14</v>
      </c>
      <c r="F95">
        <v>707.98</v>
      </c>
      <c r="G95" t="s">
        <v>23</v>
      </c>
      <c r="H95" t="str">
        <f>SUBSTITUTE(J95,"TomÃ¡s Tanaka","Tomas Tanaka")</f>
        <v>Elena Cohen</v>
      </c>
      <c r="J95" t="s">
        <v>17</v>
      </c>
      <c r="K95" t="str">
        <f t="shared" si="1"/>
        <v/>
      </c>
    </row>
    <row r="96" spans="1:11" x14ac:dyDescent="0.2">
      <c r="A96" t="s">
        <v>125</v>
      </c>
      <c r="B96" s="1">
        <v>46185</v>
      </c>
      <c r="C96" t="s">
        <v>19</v>
      </c>
      <c r="D96">
        <v>4</v>
      </c>
      <c r="E96">
        <v>87.02</v>
      </c>
      <c r="F96">
        <v>348.08</v>
      </c>
      <c r="G96" t="s">
        <v>26</v>
      </c>
      <c r="H96" t="str">
        <f>SUBSTITUTE(J96,"TomÃ¡s Tanaka","Tomas Tanaka")</f>
        <v>Tomas Tanaka</v>
      </c>
      <c r="J96" t="s">
        <v>29</v>
      </c>
      <c r="K96" t="str">
        <f t="shared" si="1"/>
        <v/>
      </c>
    </row>
    <row r="97" spans="1:11" x14ac:dyDescent="0.2">
      <c r="A97" t="s">
        <v>126</v>
      </c>
      <c r="B97" s="1">
        <v>46036</v>
      </c>
      <c r="C97" t="s">
        <v>13</v>
      </c>
      <c r="D97">
        <v>3</v>
      </c>
      <c r="E97">
        <v>95.05</v>
      </c>
      <c r="F97">
        <v>285.14999999999998</v>
      </c>
      <c r="G97" t="s">
        <v>10</v>
      </c>
      <c r="H97" t="str">
        <f>SUBSTITUTE(J97,"TomÃ¡s Tanaka","Tomas Tanaka")</f>
        <v>Omar Haddad</v>
      </c>
      <c r="J97" t="s">
        <v>21</v>
      </c>
      <c r="K97" t="str">
        <f t="shared" si="1"/>
        <v/>
      </c>
    </row>
    <row r="98" spans="1:11" x14ac:dyDescent="0.2">
      <c r="A98" t="s">
        <v>127</v>
      </c>
      <c r="B98" s="1">
        <v>46028</v>
      </c>
      <c r="C98" t="s">
        <v>19</v>
      </c>
      <c r="D98">
        <v>2</v>
      </c>
      <c r="E98">
        <v>157.18</v>
      </c>
      <c r="F98">
        <v>314.36</v>
      </c>
      <c r="G98" t="s">
        <v>20</v>
      </c>
      <c r="H98" t="str">
        <f>SUBSTITUTE(J98,"TomÃ¡s Tanaka","Tomas Tanaka")</f>
        <v>Sofia Kowalski</v>
      </c>
      <c r="J98" t="s">
        <v>11</v>
      </c>
      <c r="K98" t="str">
        <f t="shared" si="1"/>
        <v/>
      </c>
    </row>
    <row r="99" spans="1:11" x14ac:dyDescent="0.2">
      <c r="A99" t="s">
        <v>128</v>
      </c>
      <c r="B99" s="1">
        <v>46184</v>
      </c>
      <c r="C99" t="s">
        <v>9</v>
      </c>
      <c r="D99">
        <v>7</v>
      </c>
      <c r="E99">
        <v>200.15</v>
      </c>
      <c r="F99">
        <v>1401.05</v>
      </c>
      <c r="G99" t="s">
        <v>14</v>
      </c>
      <c r="H99" t="str">
        <f>SUBSTITUTE(J99,"TomÃ¡s Tanaka","Tomas Tanaka")</f>
        <v>Omar Haddad</v>
      </c>
      <c r="J99" t="s">
        <v>21</v>
      </c>
      <c r="K99" t="str">
        <f t="shared" si="1"/>
        <v/>
      </c>
    </row>
    <row r="100" spans="1:11" x14ac:dyDescent="0.2">
      <c r="A100" t="s">
        <v>129</v>
      </c>
      <c r="B100" s="1">
        <v>46121</v>
      </c>
      <c r="C100" t="s">
        <v>44</v>
      </c>
      <c r="D100">
        <v>8</v>
      </c>
      <c r="E100">
        <v>211.02</v>
      </c>
      <c r="F100">
        <v>1688.16</v>
      </c>
      <c r="G100" t="s">
        <v>14</v>
      </c>
      <c r="H100" t="str">
        <f>SUBSTITUTE(J100,"TomÃ¡s Tanaka","Tomas Tanaka")</f>
        <v>Priya Herrera</v>
      </c>
      <c r="J100" t="s">
        <v>36</v>
      </c>
      <c r="K100" t="str">
        <f t="shared" si="1"/>
        <v/>
      </c>
    </row>
    <row r="101" spans="1:11" x14ac:dyDescent="0.2">
      <c r="A101" t="s">
        <v>130</v>
      </c>
      <c r="B101" s="1">
        <v>46170</v>
      </c>
      <c r="C101" t="s">
        <v>25</v>
      </c>
      <c r="D101">
        <v>6</v>
      </c>
      <c r="E101">
        <v>95.39</v>
      </c>
      <c r="F101">
        <v>572.34</v>
      </c>
      <c r="G101" t="s">
        <v>10</v>
      </c>
      <c r="H101" t="str">
        <f>SUBSTITUTE(J101,"TomÃ¡s Tanaka","Tomas Tanaka")</f>
        <v>Omar Haddad</v>
      </c>
      <c r="J101" t="s">
        <v>21</v>
      </c>
      <c r="K101" t="str">
        <f t="shared" si="1"/>
        <v/>
      </c>
    </row>
    <row r="102" spans="1:11" x14ac:dyDescent="0.2">
      <c r="A102" t="s">
        <v>131</v>
      </c>
      <c r="B102" s="1">
        <v>46120</v>
      </c>
      <c r="C102" t="s">
        <v>64</v>
      </c>
      <c r="D102">
        <v>3</v>
      </c>
      <c r="E102">
        <v>174.42</v>
      </c>
      <c r="F102">
        <v>523.26</v>
      </c>
      <c r="G102" t="s">
        <v>20</v>
      </c>
      <c r="H102" t="str">
        <f>SUBSTITUTE(J102,"TomÃ¡s Tanaka","Tomas Tanaka")</f>
        <v>Priya Herrera</v>
      </c>
      <c r="J102" t="s">
        <v>36</v>
      </c>
      <c r="K102" t="str">
        <f t="shared" si="1"/>
        <v/>
      </c>
    </row>
    <row r="103" spans="1:11" x14ac:dyDescent="0.2">
      <c r="A103" t="s">
        <v>132</v>
      </c>
      <c r="B103" s="1">
        <v>46151</v>
      </c>
      <c r="C103" t="s">
        <v>28</v>
      </c>
      <c r="D103">
        <v>3</v>
      </c>
      <c r="E103">
        <v>20.420000000000002</v>
      </c>
      <c r="F103">
        <v>61.26</v>
      </c>
      <c r="G103" t="s">
        <v>10</v>
      </c>
      <c r="H103" t="str">
        <f>SUBSTITUTE(J103,"TomÃ¡s Tanaka","Tomas Tanaka")</f>
        <v>Priya Herrera</v>
      </c>
      <c r="J103" t="s">
        <v>36</v>
      </c>
      <c r="K103" t="str">
        <f t="shared" si="1"/>
        <v/>
      </c>
    </row>
    <row r="104" spans="1:11" x14ac:dyDescent="0.2">
      <c r="A104" t="s">
        <v>133</v>
      </c>
      <c r="B104" s="1">
        <v>46114</v>
      </c>
      <c r="C104" t="s">
        <v>31</v>
      </c>
      <c r="D104">
        <v>2</v>
      </c>
      <c r="E104">
        <v>147.5</v>
      </c>
      <c r="F104">
        <v>295</v>
      </c>
      <c r="G104" t="s">
        <v>10</v>
      </c>
      <c r="H104" t="str">
        <f>SUBSTITUTE(J104,"TomÃ¡s Tanaka","Tomas Tanaka")</f>
        <v>Chen Bennett</v>
      </c>
      <c r="J104" t="s">
        <v>40</v>
      </c>
      <c r="K104" t="str">
        <f t="shared" si="1"/>
        <v/>
      </c>
    </row>
    <row r="105" spans="1:11" x14ac:dyDescent="0.2">
      <c r="A105" t="s">
        <v>134</v>
      </c>
      <c r="B105" s="1">
        <v>46070</v>
      </c>
      <c r="C105" t="s">
        <v>64</v>
      </c>
      <c r="D105">
        <v>5</v>
      </c>
      <c r="E105">
        <v>145.81</v>
      </c>
      <c r="F105">
        <v>729.05</v>
      </c>
      <c r="G105" t="s">
        <v>10</v>
      </c>
      <c r="H105" t="str">
        <f>SUBSTITUTE(J105,"TomÃ¡s Tanaka","Tomas Tanaka")</f>
        <v>Chen Bennett</v>
      </c>
      <c r="J105" t="s">
        <v>40</v>
      </c>
      <c r="K105" t="str">
        <f t="shared" si="1"/>
        <v/>
      </c>
    </row>
    <row r="106" spans="1:11" x14ac:dyDescent="0.2">
      <c r="A106" t="s">
        <v>135</v>
      </c>
      <c r="B106" s="1">
        <v>46058</v>
      </c>
      <c r="C106" t="s">
        <v>33</v>
      </c>
      <c r="D106">
        <v>8</v>
      </c>
      <c r="E106">
        <v>199.7</v>
      </c>
      <c r="F106">
        <v>1597.6</v>
      </c>
      <c r="G106" t="s">
        <v>14</v>
      </c>
      <c r="H106" t="str">
        <f>SUBSTITUTE(J106,"TomÃ¡s Tanaka","Tomas Tanaka")</f>
        <v>Elena Cohen</v>
      </c>
      <c r="J106" t="s">
        <v>17</v>
      </c>
      <c r="K106" t="str">
        <f t="shared" si="1"/>
        <v/>
      </c>
    </row>
    <row r="107" spans="1:11" x14ac:dyDescent="0.2">
      <c r="A107" t="s">
        <v>136</v>
      </c>
      <c r="B107" s="1">
        <v>46197</v>
      </c>
      <c r="C107" t="s">
        <v>9</v>
      </c>
      <c r="D107">
        <v>1</v>
      </c>
      <c r="E107">
        <v>136.09</v>
      </c>
      <c r="F107">
        <v>136.09</v>
      </c>
      <c r="G107" t="s">
        <v>10</v>
      </c>
      <c r="H107" t="str">
        <f>SUBSTITUTE(J107,"TomÃ¡s Tanaka","Tomas Tanaka")</f>
        <v>Elena Cohen</v>
      </c>
      <c r="J107" t="s">
        <v>17</v>
      </c>
      <c r="K107" t="str">
        <f t="shared" si="1"/>
        <v/>
      </c>
    </row>
    <row r="108" spans="1:11" x14ac:dyDescent="0.2">
      <c r="A108" t="s">
        <v>137</v>
      </c>
      <c r="B108" s="1">
        <v>46198</v>
      </c>
      <c r="C108" t="s">
        <v>33</v>
      </c>
      <c r="D108">
        <v>5</v>
      </c>
      <c r="E108">
        <v>199.37</v>
      </c>
      <c r="F108">
        <v>996.85</v>
      </c>
      <c r="G108" t="s">
        <v>26</v>
      </c>
      <c r="H108" t="str">
        <f>SUBSTITUTE(J108,"TomÃ¡s Tanaka","Tomas Tanaka")</f>
        <v>Elena Cohen</v>
      </c>
      <c r="J108" t="s">
        <v>17</v>
      </c>
      <c r="K108" t="str">
        <f t="shared" si="1"/>
        <v/>
      </c>
    </row>
    <row r="109" spans="1:11" x14ac:dyDescent="0.2">
      <c r="A109" t="s">
        <v>138</v>
      </c>
      <c r="B109" s="1">
        <v>46112</v>
      </c>
      <c r="C109" t="s">
        <v>35</v>
      </c>
      <c r="D109">
        <v>5</v>
      </c>
      <c r="E109">
        <v>21.33</v>
      </c>
      <c r="F109">
        <v>106.65</v>
      </c>
      <c r="G109" t="s">
        <v>26</v>
      </c>
      <c r="H109" t="str">
        <f>SUBSTITUTE(J109,"TomÃ¡s Tanaka","Tomas Tanaka")</f>
        <v>Sofia Kowalski</v>
      </c>
      <c r="J109" t="s">
        <v>11</v>
      </c>
      <c r="K109" t="str">
        <f t="shared" si="1"/>
        <v/>
      </c>
    </row>
    <row r="110" spans="1:11" x14ac:dyDescent="0.2">
      <c r="A110" t="s">
        <v>139</v>
      </c>
      <c r="B110" s="1">
        <v>46123</v>
      </c>
      <c r="C110" t="s">
        <v>9</v>
      </c>
      <c r="D110">
        <v>5</v>
      </c>
      <c r="E110">
        <v>92.38</v>
      </c>
      <c r="F110">
        <v>461.9</v>
      </c>
      <c r="G110" t="s">
        <v>14</v>
      </c>
      <c r="H110" t="str">
        <f>SUBSTITUTE(J110,"TomÃ¡s Tanaka","Tomas Tanaka")</f>
        <v>Priya Herrera</v>
      </c>
      <c r="J110" t="s">
        <v>36</v>
      </c>
      <c r="K110" t="str">
        <f t="shared" si="1"/>
        <v/>
      </c>
    </row>
    <row r="111" spans="1:11" x14ac:dyDescent="0.2">
      <c r="A111" t="s">
        <v>140</v>
      </c>
      <c r="B111" s="1">
        <v>46066</v>
      </c>
      <c r="C111" t="s">
        <v>9</v>
      </c>
      <c r="D111">
        <v>2</v>
      </c>
      <c r="E111">
        <v>82.19</v>
      </c>
      <c r="F111">
        <v>164.38</v>
      </c>
      <c r="G111" t="s">
        <v>10</v>
      </c>
      <c r="H111" t="str">
        <f>SUBSTITUTE(J111,"TomÃ¡s Tanaka","Tomas Tanaka")</f>
        <v>Chen Bennett</v>
      </c>
      <c r="J111" t="s">
        <v>40</v>
      </c>
      <c r="K111" t="str">
        <f t="shared" si="1"/>
        <v/>
      </c>
    </row>
    <row r="112" spans="1:11" x14ac:dyDescent="0.2">
      <c r="A112" t="s">
        <v>141</v>
      </c>
      <c r="B112" s="1">
        <v>46200</v>
      </c>
      <c r="C112" t="s">
        <v>19</v>
      </c>
      <c r="D112">
        <v>5</v>
      </c>
      <c r="E112">
        <v>164.71</v>
      </c>
      <c r="F112">
        <v>823.55</v>
      </c>
      <c r="G112" t="s">
        <v>14</v>
      </c>
      <c r="H112" t="str">
        <f>SUBSTITUTE(J112,"TomÃ¡s Tanaka","Tomas Tanaka")</f>
        <v>Chen Bennett</v>
      </c>
      <c r="J112" t="s">
        <v>40</v>
      </c>
      <c r="K112" t="str">
        <f t="shared" si="1"/>
        <v/>
      </c>
    </row>
    <row r="113" spans="1:11" x14ac:dyDescent="0.2">
      <c r="A113" t="s">
        <v>142</v>
      </c>
      <c r="B113" s="1">
        <v>46066</v>
      </c>
      <c r="C113" t="s">
        <v>19</v>
      </c>
      <c r="D113">
        <v>3</v>
      </c>
      <c r="E113">
        <v>16.97</v>
      </c>
      <c r="F113">
        <v>50.91</v>
      </c>
      <c r="G113" t="s">
        <v>23</v>
      </c>
      <c r="H113" t="str">
        <f>SUBSTITUTE(J113,"TomÃ¡s Tanaka","Tomas Tanaka")</f>
        <v>Sofia Kowalski</v>
      </c>
      <c r="J113" t="s">
        <v>11</v>
      </c>
      <c r="K113" t="str">
        <f t="shared" si="1"/>
        <v/>
      </c>
    </row>
    <row r="114" spans="1:11" x14ac:dyDescent="0.2">
      <c r="A114" t="s">
        <v>143</v>
      </c>
      <c r="B114" s="1">
        <v>46110</v>
      </c>
      <c r="C114" t="s">
        <v>28</v>
      </c>
      <c r="D114">
        <v>5</v>
      </c>
      <c r="E114">
        <v>116.14</v>
      </c>
      <c r="F114">
        <v>580.70000000000005</v>
      </c>
      <c r="G114" t="s">
        <v>23</v>
      </c>
      <c r="H114" t="str">
        <f>SUBSTITUTE(J114,"TomÃ¡s Tanaka","Tomas Tanaka")</f>
        <v>Tomas Tanaka</v>
      </c>
      <c r="J114" t="s">
        <v>29</v>
      </c>
      <c r="K114" t="str">
        <f t="shared" si="1"/>
        <v/>
      </c>
    </row>
    <row r="115" spans="1:11" x14ac:dyDescent="0.2">
      <c r="A115" t="s">
        <v>144</v>
      </c>
      <c r="B115" s="1">
        <v>46070</v>
      </c>
      <c r="C115" t="s">
        <v>39</v>
      </c>
      <c r="D115">
        <v>8</v>
      </c>
      <c r="E115">
        <v>101.26</v>
      </c>
      <c r="F115">
        <v>810.08</v>
      </c>
      <c r="G115" t="s">
        <v>26</v>
      </c>
      <c r="H115" t="str">
        <f>SUBSTITUTE(J115,"TomÃ¡s Tanaka","Tomas Tanaka")</f>
        <v>Priya Herrera</v>
      </c>
      <c r="J115" t="s">
        <v>36</v>
      </c>
      <c r="K115" t="str">
        <f t="shared" si="1"/>
        <v/>
      </c>
    </row>
    <row r="116" spans="1:11" x14ac:dyDescent="0.2">
      <c r="A116" t="s">
        <v>145</v>
      </c>
      <c r="B116" s="1">
        <v>46106</v>
      </c>
      <c r="C116" t="s">
        <v>28</v>
      </c>
      <c r="D116">
        <v>3</v>
      </c>
      <c r="E116">
        <v>106.98</v>
      </c>
      <c r="F116">
        <v>320.94</v>
      </c>
      <c r="G116" t="s">
        <v>10</v>
      </c>
      <c r="H116" t="str">
        <f>SUBSTITUTE(J116,"TomÃ¡s Tanaka","Tomas Tanaka")</f>
        <v>Sofia Kowalski</v>
      </c>
      <c r="J116" t="s">
        <v>11</v>
      </c>
      <c r="K116" t="str">
        <f t="shared" si="1"/>
        <v/>
      </c>
    </row>
    <row r="117" spans="1:11" x14ac:dyDescent="0.2">
      <c r="A117" t="s">
        <v>146</v>
      </c>
      <c r="B117" s="1">
        <v>46180</v>
      </c>
      <c r="C117" t="s">
        <v>25</v>
      </c>
      <c r="D117">
        <v>6</v>
      </c>
      <c r="E117">
        <v>217.82</v>
      </c>
      <c r="F117">
        <v>1306.92</v>
      </c>
      <c r="G117" t="s">
        <v>10</v>
      </c>
      <c r="H117" t="str">
        <f>SUBSTITUTE(J117,"TomÃ¡s Tanaka","Tomas Tanaka")</f>
        <v>Chen Bennett</v>
      </c>
      <c r="J117" t="s">
        <v>40</v>
      </c>
      <c r="K117" t="str">
        <f t="shared" si="1"/>
        <v/>
      </c>
    </row>
    <row r="118" spans="1:11" x14ac:dyDescent="0.2">
      <c r="A118" t="s">
        <v>147</v>
      </c>
      <c r="B118" s="1">
        <v>46115</v>
      </c>
      <c r="C118" t="s">
        <v>13</v>
      </c>
      <c r="D118">
        <v>4</v>
      </c>
      <c r="E118">
        <v>82.75</v>
      </c>
      <c r="F118">
        <v>331</v>
      </c>
      <c r="G118" t="s">
        <v>26</v>
      </c>
      <c r="H118" t="str">
        <f>SUBSTITUTE(J118,"TomÃ¡s Tanaka","Tomas Tanaka")</f>
        <v>Omar Haddad</v>
      </c>
      <c r="J118" t="s">
        <v>21</v>
      </c>
      <c r="K118" t="str">
        <f t="shared" si="1"/>
        <v/>
      </c>
    </row>
    <row r="119" spans="1:11" x14ac:dyDescent="0.2">
      <c r="A119" t="s">
        <v>148</v>
      </c>
      <c r="B119" s="1">
        <v>46201</v>
      </c>
      <c r="C119" t="s">
        <v>16</v>
      </c>
      <c r="D119">
        <v>2</v>
      </c>
      <c r="E119">
        <v>63.53</v>
      </c>
      <c r="F119">
        <v>127.06</v>
      </c>
      <c r="G119" t="s">
        <v>10</v>
      </c>
      <c r="H119" t="str">
        <f>SUBSTITUTE(J119,"TomÃ¡s Tanaka","Tomas Tanaka")</f>
        <v>Priya Herrera</v>
      </c>
      <c r="J119" t="s">
        <v>36</v>
      </c>
      <c r="K119" t="str">
        <f t="shared" si="1"/>
        <v/>
      </c>
    </row>
    <row r="120" spans="1:11" x14ac:dyDescent="0.2">
      <c r="A120" t="s">
        <v>149</v>
      </c>
      <c r="B120" s="1">
        <v>46153</v>
      </c>
      <c r="C120" t="s">
        <v>28</v>
      </c>
      <c r="D120">
        <v>5</v>
      </c>
      <c r="E120">
        <v>133.97999999999999</v>
      </c>
      <c r="F120">
        <v>669.9</v>
      </c>
      <c r="G120" t="s">
        <v>20</v>
      </c>
      <c r="H120" t="str">
        <f>SUBSTITUTE(J120,"TomÃ¡s Tanaka","Tomas Tanaka")</f>
        <v>Elena Cohen</v>
      </c>
      <c r="J120" t="s">
        <v>17</v>
      </c>
      <c r="K120" t="str">
        <f t="shared" si="1"/>
        <v/>
      </c>
    </row>
    <row r="121" spans="1:11" x14ac:dyDescent="0.2">
      <c r="A121" t="s">
        <v>150</v>
      </c>
      <c r="B121" s="1">
        <v>46150</v>
      </c>
      <c r="C121" t="s">
        <v>44</v>
      </c>
      <c r="D121">
        <v>2</v>
      </c>
      <c r="E121">
        <v>40.29</v>
      </c>
      <c r="F121">
        <v>80.58</v>
      </c>
      <c r="G121" t="s">
        <v>23</v>
      </c>
      <c r="H121" t="str">
        <f>SUBSTITUTE(J121,"TomÃ¡s Tanaka","Tomas Tanaka")</f>
        <v>Chen Bennett</v>
      </c>
      <c r="J121" t="s">
        <v>40</v>
      </c>
      <c r="K121" t="str">
        <f t="shared" si="1"/>
        <v/>
      </c>
    </row>
    <row r="122" spans="1:11" x14ac:dyDescent="0.2">
      <c r="A122" t="s">
        <v>151</v>
      </c>
      <c r="B122" s="1">
        <v>46105</v>
      </c>
      <c r="C122" t="s">
        <v>35</v>
      </c>
      <c r="D122">
        <v>5</v>
      </c>
      <c r="E122">
        <v>67.680000000000007</v>
      </c>
      <c r="F122">
        <v>338.4</v>
      </c>
      <c r="G122" t="s">
        <v>23</v>
      </c>
      <c r="H122" t="str">
        <f>SUBSTITUTE(J122,"TomÃ¡s Tanaka","Tomas Tanaka")</f>
        <v>Omar Haddad</v>
      </c>
      <c r="J122" t="s">
        <v>21</v>
      </c>
      <c r="K122" t="str">
        <f t="shared" si="1"/>
        <v/>
      </c>
    </row>
    <row r="123" spans="1:11" x14ac:dyDescent="0.2">
      <c r="A123" t="s">
        <v>152</v>
      </c>
      <c r="B123" s="1">
        <v>46046</v>
      </c>
      <c r="C123" t="s">
        <v>25</v>
      </c>
      <c r="D123">
        <v>4</v>
      </c>
      <c r="E123">
        <v>155.01</v>
      </c>
      <c r="F123">
        <v>620.04</v>
      </c>
      <c r="G123" t="s">
        <v>23</v>
      </c>
      <c r="H123" t="str">
        <f>SUBSTITUTE(J123,"TomÃ¡s Tanaka","Tomas Tanaka")</f>
        <v>Tomas Tanaka</v>
      </c>
      <c r="J123" t="s">
        <v>29</v>
      </c>
      <c r="K123" t="str">
        <f t="shared" si="1"/>
        <v/>
      </c>
    </row>
    <row r="124" spans="1:11" x14ac:dyDescent="0.2">
      <c r="A124" t="s">
        <v>153</v>
      </c>
      <c r="B124" s="1">
        <v>46181</v>
      </c>
      <c r="C124" t="s">
        <v>19</v>
      </c>
      <c r="D124">
        <v>7</v>
      </c>
      <c r="E124">
        <v>164.92</v>
      </c>
      <c r="F124">
        <v>1154.44</v>
      </c>
      <c r="G124" t="s">
        <v>20</v>
      </c>
      <c r="H124" t="str">
        <f>SUBSTITUTE(J124,"TomÃ¡s Tanaka","Tomas Tanaka")</f>
        <v>Sofia Kowalski</v>
      </c>
      <c r="J124" t="s">
        <v>11</v>
      </c>
      <c r="K124" t="str">
        <f t="shared" si="1"/>
        <v/>
      </c>
    </row>
    <row r="125" spans="1:11" x14ac:dyDescent="0.2">
      <c r="A125" t="s">
        <v>154</v>
      </c>
      <c r="B125" s="1">
        <v>46030</v>
      </c>
      <c r="C125" t="s">
        <v>16</v>
      </c>
      <c r="D125">
        <v>4</v>
      </c>
      <c r="E125">
        <v>73.540000000000006</v>
      </c>
      <c r="F125">
        <v>294.16000000000003</v>
      </c>
      <c r="G125" t="s">
        <v>26</v>
      </c>
      <c r="H125" t="str">
        <f>SUBSTITUTE(J125,"TomÃ¡s Tanaka","Tomas Tanaka")</f>
        <v>Chen Bennett</v>
      </c>
      <c r="J125" t="s">
        <v>40</v>
      </c>
      <c r="K125" t="str">
        <f t="shared" si="1"/>
        <v/>
      </c>
    </row>
    <row r="126" spans="1:11" x14ac:dyDescent="0.2">
      <c r="A126" t="s">
        <v>155</v>
      </c>
      <c r="B126" s="1">
        <v>46061</v>
      </c>
      <c r="C126" t="s">
        <v>33</v>
      </c>
      <c r="D126">
        <v>6</v>
      </c>
      <c r="E126">
        <v>64.569999999999993</v>
      </c>
      <c r="F126">
        <v>387.42</v>
      </c>
      <c r="G126" t="s">
        <v>26</v>
      </c>
      <c r="H126" t="str">
        <f>SUBSTITUTE(J126,"TomÃ¡s Tanaka","Tomas Tanaka")</f>
        <v>Elena Cohen</v>
      </c>
      <c r="J126" t="s">
        <v>17</v>
      </c>
      <c r="K126" t="str">
        <f t="shared" si="1"/>
        <v/>
      </c>
    </row>
    <row r="127" spans="1:11" x14ac:dyDescent="0.2">
      <c r="A127" t="s">
        <v>156</v>
      </c>
      <c r="B127" s="1">
        <v>46078</v>
      </c>
      <c r="C127" t="s">
        <v>33</v>
      </c>
      <c r="D127">
        <v>6</v>
      </c>
      <c r="E127">
        <v>100.31</v>
      </c>
      <c r="F127">
        <v>601.86</v>
      </c>
      <c r="G127" t="s">
        <v>23</v>
      </c>
      <c r="H127" t="str">
        <f>SUBSTITUTE(J127,"TomÃ¡s Tanaka","Tomas Tanaka")</f>
        <v>Chen Bennett</v>
      </c>
      <c r="J127" t="s">
        <v>40</v>
      </c>
      <c r="K127" t="str">
        <f t="shared" si="1"/>
        <v/>
      </c>
    </row>
    <row r="128" spans="1:11" x14ac:dyDescent="0.2">
      <c r="A128" t="s">
        <v>157</v>
      </c>
      <c r="B128" s="1">
        <v>46036</v>
      </c>
      <c r="C128" t="s">
        <v>44</v>
      </c>
      <c r="D128">
        <v>2</v>
      </c>
      <c r="E128">
        <v>101.62</v>
      </c>
      <c r="F128">
        <v>203.24</v>
      </c>
      <c r="G128" t="s">
        <v>20</v>
      </c>
      <c r="H128" t="str">
        <f>SUBSTITUTE(J128,"TomÃ¡s Tanaka","Tomas Tanaka")</f>
        <v>Priya Herrera</v>
      </c>
      <c r="J128" t="s">
        <v>36</v>
      </c>
      <c r="K128" t="str">
        <f t="shared" si="1"/>
        <v/>
      </c>
    </row>
    <row r="129" spans="1:11" x14ac:dyDescent="0.2">
      <c r="A129" t="s">
        <v>158</v>
      </c>
      <c r="B129" s="1">
        <v>46046</v>
      </c>
      <c r="C129" t="s">
        <v>19</v>
      </c>
      <c r="D129">
        <v>1</v>
      </c>
      <c r="E129">
        <v>218.28</v>
      </c>
      <c r="F129">
        <v>218.28</v>
      </c>
      <c r="G129" t="s">
        <v>20</v>
      </c>
      <c r="H129" t="str">
        <f>SUBSTITUTE(J129,"TomÃ¡s Tanaka","Tomas Tanaka")</f>
        <v>Priya Herrera</v>
      </c>
      <c r="J129" t="s">
        <v>36</v>
      </c>
      <c r="K129" t="str">
        <f t="shared" si="1"/>
        <v/>
      </c>
    </row>
    <row r="130" spans="1:11" x14ac:dyDescent="0.2">
      <c r="A130" t="s">
        <v>159</v>
      </c>
      <c r="B130" s="1">
        <v>46144</v>
      </c>
      <c r="C130" t="s">
        <v>64</v>
      </c>
      <c r="D130">
        <v>7</v>
      </c>
      <c r="E130">
        <v>136.88999999999999</v>
      </c>
      <c r="F130">
        <v>958.23</v>
      </c>
      <c r="G130" t="s">
        <v>26</v>
      </c>
      <c r="H130" t="str">
        <f>SUBSTITUTE(J130,"TomÃ¡s Tanaka","Tomas Tanaka")</f>
        <v>Omar Haddad</v>
      </c>
      <c r="J130" t="s">
        <v>21</v>
      </c>
      <c r="K130" t="str">
        <f t="shared" si="1"/>
        <v/>
      </c>
    </row>
    <row r="131" spans="1:11" x14ac:dyDescent="0.2">
      <c r="A131" t="s">
        <v>160</v>
      </c>
      <c r="B131" s="1">
        <v>46161</v>
      </c>
      <c r="C131" t="s">
        <v>44</v>
      </c>
      <c r="D131">
        <v>7</v>
      </c>
      <c r="E131">
        <v>222.09</v>
      </c>
      <c r="F131">
        <v>1554.63</v>
      </c>
      <c r="G131" t="s">
        <v>20</v>
      </c>
      <c r="H131" t="str">
        <f>SUBSTITUTE(J131,"TomÃ¡s Tanaka","Tomas Tanaka")</f>
        <v>Priya Herrera</v>
      </c>
      <c r="J131" t="s">
        <v>36</v>
      </c>
      <c r="K131" t="str">
        <f t="shared" si="1"/>
        <v/>
      </c>
    </row>
    <row r="132" spans="1:11" x14ac:dyDescent="0.2">
      <c r="A132" t="s">
        <v>161</v>
      </c>
      <c r="B132" s="1">
        <v>46188</v>
      </c>
      <c r="C132" t="s">
        <v>9</v>
      </c>
      <c r="D132">
        <v>8</v>
      </c>
      <c r="E132">
        <v>216.34</v>
      </c>
      <c r="F132">
        <v>1730.72</v>
      </c>
      <c r="G132" t="s">
        <v>14</v>
      </c>
      <c r="H132" t="str">
        <f>SUBSTITUTE(J132,"TomÃ¡s Tanaka","Tomas Tanaka")</f>
        <v>Omar Haddad</v>
      </c>
      <c r="J132" t="s">
        <v>21</v>
      </c>
      <c r="K132" t="str">
        <f t="shared" si="1"/>
        <v/>
      </c>
    </row>
    <row r="133" spans="1:11" x14ac:dyDescent="0.2">
      <c r="A133" t="s">
        <v>162</v>
      </c>
      <c r="B133" s="1">
        <v>46155</v>
      </c>
      <c r="C133" t="s">
        <v>35</v>
      </c>
      <c r="D133">
        <v>8</v>
      </c>
      <c r="E133">
        <v>101.86</v>
      </c>
      <c r="F133">
        <v>814.88</v>
      </c>
      <c r="G133" t="s">
        <v>23</v>
      </c>
      <c r="H133" t="str">
        <f>SUBSTITUTE(J133,"TomÃ¡s Tanaka","Tomas Tanaka")</f>
        <v>Sofia Kowalski</v>
      </c>
      <c r="J133" t="s">
        <v>11</v>
      </c>
      <c r="K133" t="str">
        <f t="shared" si="1"/>
        <v/>
      </c>
    </row>
    <row r="134" spans="1:11" x14ac:dyDescent="0.2">
      <c r="A134" t="s">
        <v>163</v>
      </c>
      <c r="B134" s="1">
        <v>46061</v>
      </c>
      <c r="C134" t="s">
        <v>64</v>
      </c>
      <c r="D134">
        <v>4</v>
      </c>
      <c r="E134">
        <v>76.08</v>
      </c>
      <c r="F134">
        <v>304.32</v>
      </c>
      <c r="G134" t="s">
        <v>20</v>
      </c>
      <c r="H134" t="str">
        <f>SUBSTITUTE(J134,"TomÃ¡s Tanaka","Tomas Tanaka")</f>
        <v>Omar Haddad</v>
      </c>
      <c r="J134" t="s">
        <v>21</v>
      </c>
      <c r="K134" t="str">
        <f t="shared" si="1"/>
        <v/>
      </c>
    </row>
    <row r="135" spans="1:11" x14ac:dyDescent="0.2">
      <c r="A135" t="s">
        <v>164</v>
      </c>
      <c r="B135" s="1">
        <v>46157</v>
      </c>
      <c r="C135" t="s">
        <v>19</v>
      </c>
      <c r="D135">
        <v>4</v>
      </c>
      <c r="E135">
        <v>86.42</v>
      </c>
      <c r="F135">
        <v>345.68</v>
      </c>
      <c r="G135" t="s">
        <v>10</v>
      </c>
      <c r="H135" t="str">
        <f>SUBSTITUTE(J135,"TomÃ¡s Tanaka","Tomas Tanaka")</f>
        <v>Tomas Tanaka</v>
      </c>
      <c r="J135" t="s">
        <v>29</v>
      </c>
      <c r="K135" t="str">
        <f t="shared" si="1"/>
        <v/>
      </c>
    </row>
    <row r="136" spans="1:11" x14ac:dyDescent="0.2">
      <c r="A136" t="s">
        <v>165</v>
      </c>
      <c r="B136" s="1">
        <v>46160</v>
      </c>
      <c r="C136" t="s">
        <v>13</v>
      </c>
      <c r="D136">
        <v>4</v>
      </c>
      <c r="E136">
        <v>173.35</v>
      </c>
      <c r="F136">
        <v>693.4</v>
      </c>
      <c r="G136" t="s">
        <v>14</v>
      </c>
      <c r="H136" t="str">
        <f>SUBSTITUTE(J136,"TomÃ¡s Tanaka","Tomas Tanaka")</f>
        <v>Priya Herrera</v>
      </c>
      <c r="J136" t="s">
        <v>36</v>
      </c>
      <c r="K136" t="str">
        <f t="shared" si="1"/>
        <v/>
      </c>
    </row>
    <row r="137" spans="1:11" x14ac:dyDescent="0.2">
      <c r="A137" t="s">
        <v>166</v>
      </c>
      <c r="B137" s="1">
        <v>46197</v>
      </c>
      <c r="C137" t="s">
        <v>31</v>
      </c>
      <c r="D137">
        <v>1</v>
      </c>
      <c r="E137">
        <v>162.11000000000001</v>
      </c>
      <c r="F137">
        <v>162.11000000000001</v>
      </c>
      <c r="G137" t="s">
        <v>26</v>
      </c>
      <c r="H137" t="str">
        <f>SUBSTITUTE(J137,"TomÃ¡s Tanaka","Tomas Tanaka")</f>
        <v>Elena Cohen</v>
      </c>
      <c r="J137" t="s">
        <v>17</v>
      </c>
      <c r="K137" t="str">
        <f t="shared" ref="K137:K200" si="2">SUBSTITUTE(I137,"TomÃ¡s Tanaka","Tomas Tanaka")</f>
        <v/>
      </c>
    </row>
    <row r="138" spans="1:11" x14ac:dyDescent="0.2">
      <c r="A138" t="s">
        <v>167</v>
      </c>
      <c r="B138" s="1">
        <v>46184</v>
      </c>
      <c r="C138" t="s">
        <v>35</v>
      </c>
      <c r="D138">
        <v>5</v>
      </c>
      <c r="E138">
        <v>153.15</v>
      </c>
      <c r="F138">
        <v>765.75</v>
      </c>
      <c r="G138" t="s">
        <v>14</v>
      </c>
      <c r="H138" t="str">
        <f>SUBSTITUTE(J138,"TomÃ¡s Tanaka","Tomas Tanaka")</f>
        <v>Priya Herrera</v>
      </c>
      <c r="J138" t="s">
        <v>36</v>
      </c>
      <c r="K138" t="str">
        <f t="shared" si="2"/>
        <v/>
      </c>
    </row>
    <row r="139" spans="1:11" x14ac:dyDescent="0.2">
      <c r="A139" t="s">
        <v>168</v>
      </c>
      <c r="B139" s="1">
        <v>46170</v>
      </c>
      <c r="C139" t="s">
        <v>39</v>
      </c>
      <c r="D139">
        <v>2</v>
      </c>
      <c r="E139">
        <v>155.6</v>
      </c>
      <c r="F139">
        <v>311.2</v>
      </c>
      <c r="G139" t="s">
        <v>23</v>
      </c>
      <c r="H139" t="str">
        <f>SUBSTITUTE(J139,"TomÃ¡s Tanaka","Tomas Tanaka")</f>
        <v>Sofia Kowalski</v>
      </c>
      <c r="J139" t="s">
        <v>11</v>
      </c>
      <c r="K139" t="str">
        <f t="shared" si="2"/>
        <v/>
      </c>
    </row>
    <row r="140" spans="1:11" x14ac:dyDescent="0.2">
      <c r="A140" t="s">
        <v>169</v>
      </c>
      <c r="B140" s="1">
        <v>46169</v>
      </c>
      <c r="C140" t="s">
        <v>16</v>
      </c>
      <c r="D140">
        <v>6</v>
      </c>
      <c r="E140">
        <v>16.7</v>
      </c>
      <c r="F140">
        <v>100.2</v>
      </c>
      <c r="G140" t="s">
        <v>14</v>
      </c>
      <c r="H140" t="str">
        <f>SUBSTITUTE(J140,"TomÃ¡s Tanaka","Tomas Tanaka")</f>
        <v>Sofia Kowalski</v>
      </c>
      <c r="J140" t="s">
        <v>11</v>
      </c>
      <c r="K140" t="str">
        <f t="shared" si="2"/>
        <v/>
      </c>
    </row>
    <row r="141" spans="1:11" x14ac:dyDescent="0.2">
      <c r="A141" t="s">
        <v>170</v>
      </c>
      <c r="B141" s="1">
        <v>46025</v>
      </c>
      <c r="C141" t="s">
        <v>35</v>
      </c>
      <c r="D141">
        <v>6</v>
      </c>
      <c r="E141">
        <v>19.100000000000001</v>
      </c>
      <c r="F141">
        <v>114.6</v>
      </c>
      <c r="G141" t="s">
        <v>10</v>
      </c>
      <c r="H141" t="str">
        <f>SUBSTITUTE(J141,"TomÃ¡s Tanaka","Tomas Tanaka")</f>
        <v>Priya Herrera</v>
      </c>
      <c r="J141" t="s">
        <v>36</v>
      </c>
      <c r="K141" t="str">
        <f t="shared" si="2"/>
        <v/>
      </c>
    </row>
    <row r="142" spans="1:11" x14ac:dyDescent="0.2">
      <c r="A142" t="s">
        <v>171</v>
      </c>
      <c r="B142" s="1">
        <v>46105</v>
      </c>
      <c r="C142" t="s">
        <v>9</v>
      </c>
      <c r="D142">
        <v>7</v>
      </c>
      <c r="E142">
        <v>72.069999999999993</v>
      </c>
      <c r="F142">
        <v>504.49</v>
      </c>
      <c r="G142" t="s">
        <v>14</v>
      </c>
      <c r="H142" t="str">
        <f>SUBSTITUTE(J142,"TomÃ¡s Tanaka","Tomas Tanaka")</f>
        <v>Tomas Tanaka</v>
      </c>
      <c r="J142" t="s">
        <v>29</v>
      </c>
      <c r="K142" t="str">
        <f t="shared" si="2"/>
        <v/>
      </c>
    </row>
    <row r="143" spans="1:11" x14ac:dyDescent="0.2">
      <c r="A143" t="s">
        <v>172</v>
      </c>
      <c r="B143" s="1">
        <v>46132</v>
      </c>
      <c r="C143" t="s">
        <v>35</v>
      </c>
      <c r="D143">
        <v>1</v>
      </c>
      <c r="E143">
        <v>124.59</v>
      </c>
      <c r="F143">
        <v>124.59</v>
      </c>
      <c r="G143" t="s">
        <v>20</v>
      </c>
      <c r="H143" t="str">
        <f>SUBSTITUTE(J143,"TomÃ¡s Tanaka","Tomas Tanaka")</f>
        <v>Elena Cohen</v>
      </c>
      <c r="J143" t="s">
        <v>17</v>
      </c>
      <c r="K143" t="str">
        <f t="shared" si="2"/>
        <v/>
      </c>
    </row>
    <row r="144" spans="1:11" x14ac:dyDescent="0.2">
      <c r="A144" t="s">
        <v>173</v>
      </c>
      <c r="B144" s="1">
        <v>46134</v>
      </c>
      <c r="C144" t="s">
        <v>28</v>
      </c>
      <c r="D144">
        <v>4</v>
      </c>
      <c r="E144">
        <v>156.06</v>
      </c>
      <c r="F144">
        <v>624.24</v>
      </c>
      <c r="G144" t="s">
        <v>23</v>
      </c>
      <c r="H144" t="str">
        <f>SUBSTITUTE(J144,"TomÃ¡s Tanaka","Tomas Tanaka")</f>
        <v>Omar Haddad</v>
      </c>
      <c r="J144" t="s">
        <v>21</v>
      </c>
      <c r="K144" t="str">
        <f t="shared" si="2"/>
        <v/>
      </c>
    </row>
    <row r="145" spans="1:11" x14ac:dyDescent="0.2">
      <c r="A145" t="s">
        <v>174</v>
      </c>
      <c r="B145" s="1">
        <v>46181</v>
      </c>
      <c r="C145" t="s">
        <v>16</v>
      </c>
      <c r="D145">
        <v>7</v>
      </c>
      <c r="E145">
        <v>209.76</v>
      </c>
      <c r="F145">
        <v>1468.32</v>
      </c>
      <c r="G145" t="s">
        <v>23</v>
      </c>
      <c r="H145" t="str">
        <f>SUBSTITUTE(J145,"TomÃ¡s Tanaka","Tomas Tanaka")</f>
        <v>Elena Cohen</v>
      </c>
      <c r="J145" t="s">
        <v>17</v>
      </c>
      <c r="K145" t="str">
        <f t="shared" si="2"/>
        <v/>
      </c>
    </row>
    <row r="146" spans="1:11" x14ac:dyDescent="0.2">
      <c r="A146" t="s">
        <v>175</v>
      </c>
      <c r="B146" s="1">
        <v>46183</v>
      </c>
      <c r="C146" t="s">
        <v>19</v>
      </c>
      <c r="D146">
        <v>4</v>
      </c>
      <c r="E146">
        <v>156.38</v>
      </c>
      <c r="F146">
        <v>625.52</v>
      </c>
      <c r="G146" t="s">
        <v>14</v>
      </c>
      <c r="H146" t="str">
        <f>SUBSTITUTE(J146,"TomÃ¡s Tanaka","Tomas Tanaka")</f>
        <v>Chen Bennett</v>
      </c>
      <c r="J146" t="s">
        <v>40</v>
      </c>
      <c r="K146" t="str">
        <f t="shared" si="2"/>
        <v/>
      </c>
    </row>
    <row r="147" spans="1:11" x14ac:dyDescent="0.2">
      <c r="A147" t="s">
        <v>176</v>
      </c>
      <c r="B147" s="1">
        <v>46070</v>
      </c>
      <c r="C147" t="s">
        <v>35</v>
      </c>
      <c r="D147">
        <v>1</v>
      </c>
      <c r="E147">
        <v>160.51</v>
      </c>
      <c r="F147">
        <v>160.51</v>
      </c>
      <c r="G147" t="s">
        <v>10</v>
      </c>
      <c r="H147" t="str">
        <f>SUBSTITUTE(J147,"TomÃ¡s Tanaka","Tomas Tanaka")</f>
        <v>Sofia Kowalski</v>
      </c>
      <c r="J147" t="s">
        <v>11</v>
      </c>
      <c r="K147" t="str">
        <f t="shared" si="2"/>
        <v/>
      </c>
    </row>
    <row r="148" spans="1:11" x14ac:dyDescent="0.2">
      <c r="A148" t="s">
        <v>177</v>
      </c>
      <c r="B148" s="1">
        <v>46030</v>
      </c>
      <c r="C148" t="s">
        <v>19</v>
      </c>
      <c r="D148">
        <v>5</v>
      </c>
      <c r="E148">
        <v>97.85</v>
      </c>
      <c r="F148">
        <v>489.25</v>
      </c>
      <c r="G148" t="s">
        <v>26</v>
      </c>
      <c r="H148" t="str">
        <f>SUBSTITUTE(J148,"TomÃ¡s Tanaka","Tomas Tanaka")</f>
        <v>Sofia Kowalski</v>
      </c>
      <c r="J148" t="s">
        <v>11</v>
      </c>
      <c r="K148" t="str">
        <f t="shared" si="2"/>
        <v/>
      </c>
    </row>
    <row r="149" spans="1:11" x14ac:dyDescent="0.2">
      <c r="A149" t="s">
        <v>178</v>
      </c>
      <c r="B149" s="1">
        <v>46182</v>
      </c>
      <c r="C149" t="s">
        <v>31</v>
      </c>
      <c r="D149">
        <v>7</v>
      </c>
      <c r="E149">
        <v>154.63</v>
      </c>
      <c r="F149">
        <v>1082.4100000000001</v>
      </c>
      <c r="G149" t="s">
        <v>14</v>
      </c>
      <c r="H149" t="str">
        <f>SUBSTITUTE(J149,"TomÃ¡s Tanaka","Tomas Tanaka")</f>
        <v>Priya Herrera</v>
      </c>
      <c r="J149" t="s">
        <v>36</v>
      </c>
      <c r="K149" t="str">
        <f t="shared" si="2"/>
        <v/>
      </c>
    </row>
    <row r="150" spans="1:11" x14ac:dyDescent="0.2">
      <c r="A150" t="s">
        <v>179</v>
      </c>
      <c r="B150" s="1">
        <v>46177</v>
      </c>
      <c r="C150" t="s">
        <v>31</v>
      </c>
      <c r="D150">
        <v>3</v>
      </c>
      <c r="E150">
        <v>151.96</v>
      </c>
      <c r="F150">
        <v>455.88</v>
      </c>
      <c r="G150" t="s">
        <v>20</v>
      </c>
      <c r="H150" t="str">
        <f>SUBSTITUTE(J150,"TomÃ¡s Tanaka","Tomas Tanaka")</f>
        <v>Sofia Kowalski</v>
      </c>
      <c r="J150" t="s">
        <v>11</v>
      </c>
      <c r="K150" t="str">
        <f t="shared" si="2"/>
        <v/>
      </c>
    </row>
    <row r="151" spans="1:11" x14ac:dyDescent="0.2">
      <c r="A151" t="s">
        <v>180</v>
      </c>
      <c r="B151" s="1">
        <v>46139</v>
      </c>
      <c r="C151" t="s">
        <v>64</v>
      </c>
      <c r="D151">
        <v>4</v>
      </c>
      <c r="E151">
        <v>150.59</v>
      </c>
      <c r="F151">
        <v>602.36</v>
      </c>
      <c r="G151" t="s">
        <v>23</v>
      </c>
      <c r="H151" t="str">
        <f>SUBSTITUTE(J151,"TomÃ¡s Tanaka","Tomas Tanaka")</f>
        <v>Omar Haddad</v>
      </c>
      <c r="J151" t="s">
        <v>21</v>
      </c>
      <c r="K151" t="str">
        <f t="shared" si="2"/>
        <v/>
      </c>
    </row>
    <row r="152" spans="1:11" x14ac:dyDescent="0.2">
      <c r="A152" t="s">
        <v>181</v>
      </c>
      <c r="B152" s="1">
        <v>46106</v>
      </c>
      <c r="C152" t="s">
        <v>28</v>
      </c>
      <c r="D152">
        <v>3</v>
      </c>
      <c r="E152">
        <v>52.27</v>
      </c>
      <c r="F152">
        <v>156.81</v>
      </c>
      <c r="G152" t="s">
        <v>20</v>
      </c>
      <c r="H152" t="str">
        <f>SUBSTITUTE(J152,"TomÃ¡s Tanaka","Tomas Tanaka")</f>
        <v>Elena Cohen</v>
      </c>
      <c r="J152" t="s">
        <v>17</v>
      </c>
      <c r="K152" t="str">
        <f t="shared" si="2"/>
        <v/>
      </c>
    </row>
    <row r="153" spans="1:11" x14ac:dyDescent="0.2">
      <c r="A153" t="s">
        <v>182</v>
      </c>
      <c r="B153" s="1">
        <v>46125</v>
      </c>
      <c r="C153" t="s">
        <v>33</v>
      </c>
      <c r="D153">
        <v>1</v>
      </c>
      <c r="E153">
        <v>48.08</v>
      </c>
      <c r="F153">
        <v>48.08</v>
      </c>
      <c r="G153" t="s">
        <v>20</v>
      </c>
      <c r="H153" t="str">
        <f>SUBSTITUTE(J153,"TomÃ¡s Tanaka","Tomas Tanaka")</f>
        <v>Chen Bennett</v>
      </c>
      <c r="J153" t="s">
        <v>40</v>
      </c>
      <c r="K153" t="str">
        <f t="shared" si="2"/>
        <v/>
      </c>
    </row>
    <row r="154" spans="1:11" x14ac:dyDescent="0.2">
      <c r="A154" t="s">
        <v>183</v>
      </c>
      <c r="B154" s="1">
        <v>46099</v>
      </c>
      <c r="C154" t="s">
        <v>19</v>
      </c>
      <c r="D154">
        <v>7</v>
      </c>
      <c r="E154">
        <v>125.23</v>
      </c>
      <c r="F154">
        <v>876.61</v>
      </c>
      <c r="G154" t="s">
        <v>14</v>
      </c>
      <c r="H154" t="str">
        <f>SUBSTITUTE(J154,"TomÃ¡s Tanaka","Tomas Tanaka")</f>
        <v>Omar Haddad</v>
      </c>
      <c r="J154" t="s">
        <v>21</v>
      </c>
      <c r="K154" t="str">
        <f t="shared" si="2"/>
        <v/>
      </c>
    </row>
    <row r="155" spans="1:11" x14ac:dyDescent="0.2">
      <c r="A155" t="s">
        <v>184</v>
      </c>
      <c r="B155" s="1">
        <v>46060</v>
      </c>
      <c r="C155" t="s">
        <v>35</v>
      </c>
      <c r="D155">
        <v>2</v>
      </c>
      <c r="E155">
        <v>76.06</v>
      </c>
      <c r="F155">
        <v>152.12</v>
      </c>
      <c r="G155" t="s">
        <v>26</v>
      </c>
      <c r="H155" t="str">
        <f>SUBSTITUTE(J155,"TomÃ¡s Tanaka","Tomas Tanaka")</f>
        <v>Omar Haddad</v>
      </c>
      <c r="J155" t="s">
        <v>21</v>
      </c>
      <c r="K155" t="str">
        <f t="shared" si="2"/>
        <v/>
      </c>
    </row>
    <row r="156" spans="1:11" x14ac:dyDescent="0.2">
      <c r="A156" t="s">
        <v>185</v>
      </c>
      <c r="B156" s="1">
        <v>46102</v>
      </c>
      <c r="C156" t="s">
        <v>28</v>
      </c>
      <c r="D156">
        <v>5</v>
      </c>
      <c r="E156">
        <v>177.09</v>
      </c>
      <c r="F156">
        <v>885.45</v>
      </c>
      <c r="G156" t="s">
        <v>10</v>
      </c>
      <c r="H156" t="str">
        <f>SUBSTITUTE(J156,"TomÃ¡s Tanaka","Tomas Tanaka")</f>
        <v>Tomas Tanaka</v>
      </c>
      <c r="J156" t="s">
        <v>29</v>
      </c>
      <c r="K156" t="str">
        <f t="shared" si="2"/>
        <v/>
      </c>
    </row>
    <row r="157" spans="1:11" x14ac:dyDescent="0.2">
      <c r="A157" t="s">
        <v>186</v>
      </c>
      <c r="B157" s="1">
        <v>46104</v>
      </c>
      <c r="C157" t="s">
        <v>16</v>
      </c>
      <c r="D157">
        <v>2</v>
      </c>
      <c r="E157">
        <v>81.39</v>
      </c>
      <c r="F157">
        <v>162.78</v>
      </c>
      <c r="G157" t="s">
        <v>10</v>
      </c>
      <c r="H157" t="str">
        <f>SUBSTITUTE(J157,"TomÃ¡s Tanaka","Tomas Tanaka")</f>
        <v>Elena Cohen</v>
      </c>
      <c r="J157" t="s">
        <v>17</v>
      </c>
      <c r="K157" t="str">
        <f t="shared" si="2"/>
        <v/>
      </c>
    </row>
    <row r="158" spans="1:11" x14ac:dyDescent="0.2">
      <c r="A158" t="s">
        <v>187</v>
      </c>
      <c r="B158" s="1">
        <v>46196</v>
      </c>
      <c r="C158" t="s">
        <v>33</v>
      </c>
      <c r="D158">
        <v>8</v>
      </c>
      <c r="E158">
        <v>186.75</v>
      </c>
      <c r="F158">
        <v>1494</v>
      </c>
      <c r="G158" t="s">
        <v>26</v>
      </c>
      <c r="H158" t="str">
        <f>SUBSTITUTE(J158,"TomÃ¡s Tanaka","Tomas Tanaka")</f>
        <v>Sofia Kowalski</v>
      </c>
      <c r="J158" t="s">
        <v>11</v>
      </c>
      <c r="K158" t="str">
        <f t="shared" si="2"/>
        <v/>
      </c>
    </row>
    <row r="159" spans="1:11" x14ac:dyDescent="0.2">
      <c r="A159" t="s">
        <v>188</v>
      </c>
      <c r="B159" s="1">
        <v>46046</v>
      </c>
      <c r="C159" t="s">
        <v>13</v>
      </c>
      <c r="D159">
        <v>5</v>
      </c>
      <c r="E159">
        <v>105.75</v>
      </c>
      <c r="F159">
        <v>528.75</v>
      </c>
      <c r="G159" t="s">
        <v>14</v>
      </c>
      <c r="H159" t="str">
        <f>SUBSTITUTE(J159,"TomÃ¡s Tanaka","Tomas Tanaka")</f>
        <v>Sofia Kowalski</v>
      </c>
      <c r="J159" t="s">
        <v>11</v>
      </c>
      <c r="K159" t="str">
        <f t="shared" si="2"/>
        <v/>
      </c>
    </row>
    <row r="160" spans="1:11" x14ac:dyDescent="0.2">
      <c r="A160" t="s">
        <v>189</v>
      </c>
      <c r="B160" s="1">
        <v>46093</v>
      </c>
      <c r="C160" t="s">
        <v>28</v>
      </c>
      <c r="D160">
        <v>1</v>
      </c>
      <c r="E160">
        <v>166.85</v>
      </c>
      <c r="F160">
        <v>166.85</v>
      </c>
      <c r="G160" t="s">
        <v>20</v>
      </c>
      <c r="H160" t="str">
        <f>SUBSTITUTE(J160,"TomÃ¡s Tanaka","Tomas Tanaka")</f>
        <v>Tomas Tanaka</v>
      </c>
      <c r="J160" t="s">
        <v>29</v>
      </c>
      <c r="K160" t="str">
        <f t="shared" si="2"/>
        <v/>
      </c>
    </row>
    <row r="161" spans="1:11" x14ac:dyDescent="0.2">
      <c r="A161" t="s">
        <v>190</v>
      </c>
      <c r="B161" s="1">
        <v>46045</v>
      </c>
      <c r="C161" t="s">
        <v>35</v>
      </c>
      <c r="D161">
        <v>4</v>
      </c>
      <c r="E161">
        <v>84.28</v>
      </c>
      <c r="F161">
        <v>337.12</v>
      </c>
      <c r="G161" t="s">
        <v>26</v>
      </c>
      <c r="H161" t="str">
        <f>SUBSTITUTE(J161,"TomÃ¡s Tanaka","Tomas Tanaka")</f>
        <v>Priya Herrera</v>
      </c>
      <c r="J161" t="s">
        <v>36</v>
      </c>
      <c r="K161" t="str">
        <f t="shared" si="2"/>
        <v/>
      </c>
    </row>
    <row r="162" spans="1:11" x14ac:dyDescent="0.2">
      <c r="A162" t="s">
        <v>191</v>
      </c>
      <c r="B162" s="1">
        <v>46144</v>
      </c>
      <c r="C162" t="s">
        <v>25</v>
      </c>
      <c r="D162">
        <v>6</v>
      </c>
      <c r="E162">
        <v>131.34</v>
      </c>
      <c r="F162">
        <v>788.04</v>
      </c>
      <c r="G162" t="s">
        <v>14</v>
      </c>
      <c r="H162" t="str">
        <f>SUBSTITUTE(J162,"TomÃ¡s Tanaka","Tomas Tanaka")</f>
        <v>Priya Herrera</v>
      </c>
      <c r="J162" t="s">
        <v>36</v>
      </c>
      <c r="K162" t="str">
        <f t="shared" si="2"/>
        <v/>
      </c>
    </row>
    <row r="163" spans="1:11" x14ac:dyDescent="0.2">
      <c r="A163" t="s">
        <v>192</v>
      </c>
      <c r="B163" s="1">
        <v>46194</v>
      </c>
      <c r="C163" t="s">
        <v>35</v>
      </c>
      <c r="D163">
        <v>5</v>
      </c>
      <c r="E163">
        <v>162.13999999999999</v>
      </c>
      <c r="F163">
        <v>810.7</v>
      </c>
      <c r="G163" t="s">
        <v>26</v>
      </c>
      <c r="H163" t="str">
        <f>SUBSTITUTE(J163,"TomÃ¡s Tanaka","Tomas Tanaka")</f>
        <v>Omar Haddad</v>
      </c>
      <c r="J163" t="s">
        <v>21</v>
      </c>
      <c r="K163" t="str">
        <f t="shared" si="2"/>
        <v/>
      </c>
    </row>
    <row r="164" spans="1:11" x14ac:dyDescent="0.2">
      <c r="A164" t="s">
        <v>193</v>
      </c>
      <c r="B164" s="1">
        <v>46104</v>
      </c>
      <c r="C164" t="s">
        <v>39</v>
      </c>
      <c r="D164">
        <v>3</v>
      </c>
      <c r="E164">
        <v>202.78</v>
      </c>
      <c r="F164">
        <v>608.34</v>
      </c>
      <c r="G164" t="s">
        <v>26</v>
      </c>
      <c r="H164" t="str">
        <f>SUBSTITUTE(J164,"TomÃ¡s Tanaka","Tomas Tanaka")</f>
        <v>Sofia Kowalski</v>
      </c>
      <c r="J164" t="s">
        <v>11</v>
      </c>
      <c r="K164" t="str">
        <f t="shared" si="2"/>
        <v/>
      </c>
    </row>
    <row r="165" spans="1:11" x14ac:dyDescent="0.2">
      <c r="A165" t="s">
        <v>194</v>
      </c>
      <c r="B165" s="1">
        <v>46126</v>
      </c>
      <c r="C165" t="s">
        <v>13</v>
      </c>
      <c r="D165">
        <v>4</v>
      </c>
      <c r="E165">
        <v>15.58</v>
      </c>
      <c r="F165">
        <v>62.32</v>
      </c>
      <c r="G165" t="s">
        <v>20</v>
      </c>
      <c r="H165" t="str">
        <f>SUBSTITUTE(J165,"TomÃ¡s Tanaka","Tomas Tanaka")</f>
        <v>Tomas Tanaka</v>
      </c>
      <c r="J165" t="s">
        <v>29</v>
      </c>
      <c r="K165" t="str">
        <f t="shared" si="2"/>
        <v/>
      </c>
    </row>
    <row r="166" spans="1:11" x14ac:dyDescent="0.2">
      <c r="A166" t="s">
        <v>195</v>
      </c>
      <c r="B166" s="1">
        <v>46027</v>
      </c>
      <c r="C166" t="s">
        <v>44</v>
      </c>
      <c r="D166">
        <v>4</v>
      </c>
      <c r="E166">
        <v>80.59</v>
      </c>
      <c r="F166">
        <v>322.36</v>
      </c>
      <c r="G166" t="s">
        <v>10</v>
      </c>
      <c r="H166" t="str">
        <f>SUBSTITUTE(J166,"TomÃ¡s Tanaka","Tomas Tanaka")</f>
        <v>Chen Bennett</v>
      </c>
      <c r="J166" t="s">
        <v>40</v>
      </c>
      <c r="K166" t="str">
        <f t="shared" si="2"/>
        <v/>
      </c>
    </row>
    <row r="167" spans="1:11" x14ac:dyDescent="0.2">
      <c r="A167" t="s">
        <v>196</v>
      </c>
      <c r="B167" s="1">
        <v>46184</v>
      </c>
      <c r="C167" t="s">
        <v>64</v>
      </c>
      <c r="D167">
        <v>8</v>
      </c>
      <c r="E167">
        <v>82.73</v>
      </c>
      <c r="F167">
        <v>661.84</v>
      </c>
      <c r="G167" t="s">
        <v>26</v>
      </c>
      <c r="H167" t="str">
        <f>SUBSTITUTE(J167,"TomÃ¡s Tanaka","Tomas Tanaka")</f>
        <v>Chen Bennett</v>
      </c>
      <c r="J167" t="s">
        <v>40</v>
      </c>
      <c r="K167" t="str">
        <f t="shared" si="2"/>
        <v/>
      </c>
    </row>
    <row r="168" spans="1:11" x14ac:dyDescent="0.2">
      <c r="A168" t="s">
        <v>197</v>
      </c>
      <c r="B168" s="1">
        <v>46163</v>
      </c>
      <c r="C168" t="s">
        <v>19</v>
      </c>
      <c r="D168">
        <v>4</v>
      </c>
      <c r="E168">
        <v>20.57</v>
      </c>
      <c r="F168">
        <v>82.28</v>
      </c>
      <c r="G168" t="s">
        <v>26</v>
      </c>
      <c r="H168" t="str">
        <f>SUBSTITUTE(J168,"TomÃ¡s Tanaka","Tomas Tanaka")</f>
        <v>Chen Bennett</v>
      </c>
      <c r="J168" t="s">
        <v>40</v>
      </c>
      <c r="K168" t="str">
        <f t="shared" si="2"/>
        <v/>
      </c>
    </row>
    <row r="169" spans="1:11" x14ac:dyDescent="0.2">
      <c r="A169" t="s">
        <v>198</v>
      </c>
      <c r="B169" s="1">
        <v>46038</v>
      </c>
      <c r="C169" t="s">
        <v>64</v>
      </c>
      <c r="D169">
        <v>5</v>
      </c>
      <c r="E169">
        <v>26.98</v>
      </c>
      <c r="F169">
        <v>134.9</v>
      </c>
      <c r="G169" t="s">
        <v>23</v>
      </c>
      <c r="H169" t="str">
        <f>SUBSTITUTE(J169,"TomÃ¡s Tanaka","Tomas Tanaka")</f>
        <v>Sofia Kowalski</v>
      </c>
      <c r="J169" t="s">
        <v>11</v>
      </c>
      <c r="K169" t="str">
        <f t="shared" si="2"/>
        <v/>
      </c>
    </row>
    <row r="170" spans="1:11" x14ac:dyDescent="0.2">
      <c r="A170" t="s">
        <v>199</v>
      </c>
      <c r="B170" s="1">
        <v>46046</v>
      </c>
      <c r="C170" t="s">
        <v>19</v>
      </c>
      <c r="D170">
        <v>7</v>
      </c>
      <c r="E170">
        <v>216.51</v>
      </c>
      <c r="F170">
        <v>1515.57</v>
      </c>
      <c r="G170" t="s">
        <v>10</v>
      </c>
      <c r="H170" t="str">
        <f>SUBSTITUTE(J170,"TomÃ¡s Tanaka","Tomas Tanaka")</f>
        <v>Tomas Tanaka</v>
      </c>
      <c r="J170" t="s">
        <v>29</v>
      </c>
      <c r="K170" t="str">
        <f t="shared" si="2"/>
        <v/>
      </c>
    </row>
    <row r="171" spans="1:11" x14ac:dyDescent="0.2">
      <c r="A171" t="s">
        <v>200</v>
      </c>
      <c r="B171" s="1">
        <v>46148</v>
      </c>
      <c r="C171" t="s">
        <v>16</v>
      </c>
      <c r="D171">
        <v>6</v>
      </c>
      <c r="E171">
        <v>119.56</v>
      </c>
      <c r="F171">
        <v>717.36</v>
      </c>
      <c r="G171" t="s">
        <v>23</v>
      </c>
      <c r="H171" t="str">
        <f>SUBSTITUTE(J171,"TomÃ¡s Tanaka","Tomas Tanaka")</f>
        <v>Elena Cohen</v>
      </c>
      <c r="J171" t="s">
        <v>17</v>
      </c>
      <c r="K171" t="str">
        <f t="shared" si="2"/>
        <v/>
      </c>
    </row>
    <row r="172" spans="1:11" x14ac:dyDescent="0.2">
      <c r="A172" t="s">
        <v>201</v>
      </c>
      <c r="B172" s="1">
        <v>46102</v>
      </c>
      <c r="C172" t="s">
        <v>33</v>
      </c>
      <c r="D172">
        <v>6</v>
      </c>
      <c r="E172">
        <v>67.73</v>
      </c>
      <c r="F172">
        <v>406.38</v>
      </c>
      <c r="G172" t="s">
        <v>26</v>
      </c>
      <c r="H172" t="str">
        <f>SUBSTITUTE(J172,"TomÃ¡s Tanaka","Tomas Tanaka")</f>
        <v>Chen Bennett</v>
      </c>
      <c r="J172" t="s">
        <v>40</v>
      </c>
      <c r="K172" t="str">
        <f t="shared" si="2"/>
        <v/>
      </c>
    </row>
    <row r="173" spans="1:11" x14ac:dyDescent="0.2">
      <c r="A173" t="s">
        <v>202</v>
      </c>
      <c r="B173" s="1">
        <v>46193</v>
      </c>
      <c r="C173" t="s">
        <v>31</v>
      </c>
      <c r="D173">
        <v>3</v>
      </c>
      <c r="E173">
        <v>88.69</v>
      </c>
      <c r="F173">
        <v>266.07</v>
      </c>
      <c r="G173" t="s">
        <v>26</v>
      </c>
      <c r="H173" t="str">
        <f>SUBSTITUTE(J173,"TomÃ¡s Tanaka","Tomas Tanaka")</f>
        <v>Priya Herrera</v>
      </c>
      <c r="J173" t="s">
        <v>36</v>
      </c>
      <c r="K173" t="str">
        <f t="shared" si="2"/>
        <v/>
      </c>
    </row>
    <row r="174" spans="1:11" x14ac:dyDescent="0.2">
      <c r="A174" t="s">
        <v>203</v>
      </c>
      <c r="B174" s="1">
        <v>46162</v>
      </c>
      <c r="C174" t="s">
        <v>31</v>
      </c>
      <c r="D174">
        <v>7</v>
      </c>
      <c r="E174">
        <v>17.850000000000001</v>
      </c>
      <c r="F174">
        <v>124.95</v>
      </c>
      <c r="G174" t="s">
        <v>26</v>
      </c>
      <c r="H174" t="str">
        <f>SUBSTITUTE(J174,"TomÃ¡s Tanaka","Tomas Tanaka")</f>
        <v>Elena Cohen</v>
      </c>
      <c r="J174" t="s">
        <v>17</v>
      </c>
      <c r="K174" t="str">
        <f t="shared" si="2"/>
        <v/>
      </c>
    </row>
    <row r="175" spans="1:11" x14ac:dyDescent="0.2">
      <c r="A175" t="s">
        <v>204</v>
      </c>
      <c r="B175" s="1">
        <v>46149</v>
      </c>
      <c r="C175" t="s">
        <v>19</v>
      </c>
      <c r="D175">
        <v>2</v>
      </c>
      <c r="E175">
        <v>100.99</v>
      </c>
      <c r="F175">
        <v>201.98</v>
      </c>
      <c r="G175" t="s">
        <v>26</v>
      </c>
      <c r="H175" t="str">
        <f>SUBSTITUTE(J175,"TomÃ¡s Tanaka","Tomas Tanaka")</f>
        <v>Priya Herrera</v>
      </c>
      <c r="J175" t="s">
        <v>36</v>
      </c>
      <c r="K175" t="str">
        <f t="shared" si="2"/>
        <v/>
      </c>
    </row>
    <row r="176" spans="1:11" x14ac:dyDescent="0.2">
      <c r="A176" t="s">
        <v>205</v>
      </c>
      <c r="B176" s="1">
        <v>46187</v>
      </c>
      <c r="C176" t="s">
        <v>9</v>
      </c>
      <c r="D176">
        <v>1</v>
      </c>
      <c r="E176">
        <v>111.2</v>
      </c>
      <c r="F176">
        <v>111.2</v>
      </c>
      <c r="G176" t="s">
        <v>23</v>
      </c>
      <c r="H176" t="str">
        <f>SUBSTITUTE(J176,"TomÃ¡s Tanaka","Tomas Tanaka")</f>
        <v>Tomas Tanaka</v>
      </c>
      <c r="J176" t="s">
        <v>29</v>
      </c>
      <c r="K176" t="str">
        <f t="shared" si="2"/>
        <v/>
      </c>
    </row>
    <row r="177" spans="1:11" x14ac:dyDescent="0.2">
      <c r="A177" t="s">
        <v>206</v>
      </c>
      <c r="B177" s="1">
        <v>46084</v>
      </c>
      <c r="C177" t="s">
        <v>64</v>
      </c>
      <c r="D177">
        <v>2</v>
      </c>
      <c r="E177">
        <v>101.15</v>
      </c>
      <c r="F177">
        <v>202.3</v>
      </c>
      <c r="G177" t="s">
        <v>14</v>
      </c>
      <c r="H177" t="str">
        <f>SUBSTITUTE(J177,"TomÃ¡s Tanaka","Tomas Tanaka")</f>
        <v>Elena Cohen</v>
      </c>
      <c r="J177" t="s">
        <v>17</v>
      </c>
      <c r="K177" t="str">
        <f t="shared" si="2"/>
        <v/>
      </c>
    </row>
    <row r="178" spans="1:11" x14ac:dyDescent="0.2">
      <c r="A178" t="s">
        <v>207</v>
      </c>
      <c r="B178" s="1">
        <v>46182</v>
      </c>
      <c r="C178" t="s">
        <v>13</v>
      </c>
      <c r="D178">
        <v>6</v>
      </c>
      <c r="E178">
        <v>133.08000000000001</v>
      </c>
      <c r="F178">
        <v>798.48</v>
      </c>
      <c r="G178" t="s">
        <v>26</v>
      </c>
      <c r="H178" t="str">
        <f>SUBSTITUTE(J178,"TomÃ¡s Tanaka","Tomas Tanaka")</f>
        <v>Priya Herrera</v>
      </c>
      <c r="J178" t="s">
        <v>36</v>
      </c>
      <c r="K178" t="str">
        <f t="shared" si="2"/>
        <v/>
      </c>
    </row>
    <row r="179" spans="1:11" x14ac:dyDescent="0.2">
      <c r="A179" t="s">
        <v>208</v>
      </c>
      <c r="B179" s="1">
        <v>46079</v>
      </c>
      <c r="C179" t="s">
        <v>16</v>
      </c>
      <c r="D179">
        <v>1</v>
      </c>
      <c r="E179">
        <v>230.15</v>
      </c>
      <c r="F179">
        <v>230.15</v>
      </c>
      <c r="G179" t="s">
        <v>20</v>
      </c>
      <c r="H179" t="str">
        <f>SUBSTITUTE(J179,"TomÃ¡s Tanaka","Tomas Tanaka")</f>
        <v>Omar Haddad</v>
      </c>
      <c r="J179" t="s">
        <v>21</v>
      </c>
      <c r="K179" t="str">
        <f t="shared" si="2"/>
        <v/>
      </c>
    </row>
    <row r="180" spans="1:11" x14ac:dyDescent="0.2">
      <c r="A180" t="s">
        <v>209</v>
      </c>
      <c r="B180" s="1">
        <v>46075</v>
      </c>
      <c r="C180" t="s">
        <v>25</v>
      </c>
      <c r="D180">
        <v>6</v>
      </c>
      <c r="E180">
        <v>97.76</v>
      </c>
      <c r="F180">
        <v>586.55999999999995</v>
      </c>
      <c r="G180" t="s">
        <v>26</v>
      </c>
      <c r="H180" t="str">
        <f>SUBSTITUTE(J180,"TomÃ¡s Tanaka","Tomas Tanaka")</f>
        <v>Omar Haddad</v>
      </c>
      <c r="J180" t="s">
        <v>21</v>
      </c>
      <c r="K180" t="str">
        <f t="shared" si="2"/>
        <v/>
      </c>
    </row>
    <row r="181" spans="1:11" x14ac:dyDescent="0.2">
      <c r="A181" t="s">
        <v>210</v>
      </c>
      <c r="B181" s="1">
        <v>46156</v>
      </c>
      <c r="C181" t="s">
        <v>16</v>
      </c>
      <c r="D181">
        <v>3</v>
      </c>
      <c r="E181">
        <v>71.11</v>
      </c>
      <c r="F181">
        <v>213.33</v>
      </c>
      <c r="G181" t="s">
        <v>20</v>
      </c>
      <c r="H181" t="str">
        <f>SUBSTITUTE(J181,"TomÃ¡s Tanaka","Tomas Tanaka")</f>
        <v>Sofia Kowalski</v>
      </c>
      <c r="J181" t="s">
        <v>11</v>
      </c>
      <c r="K181" t="str">
        <f t="shared" si="2"/>
        <v/>
      </c>
    </row>
    <row r="182" spans="1:11" x14ac:dyDescent="0.2">
      <c r="A182" t="s">
        <v>211</v>
      </c>
      <c r="B182" s="1">
        <v>46195</v>
      </c>
      <c r="C182" t="s">
        <v>33</v>
      </c>
      <c r="D182">
        <v>3</v>
      </c>
      <c r="E182">
        <v>65.77</v>
      </c>
      <c r="F182">
        <v>197.31</v>
      </c>
      <c r="G182" t="s">
        <v>14</v>
      </c>
      <c r="H182" t="str">
        <f>SUBSTITUTE(J182,"TomÃ¡s Tanaka","Tomas Tanaka")</f>
        <v>Priya Herrera</v>
      </c>
      <c r="J182" t="s">
        <v>36</v>
      </c>
      <c r="K182" t="str">
        <f t="shared" si="2"/>
        <v/>
      </c>
    </row>
    <row r="183" spans="1:11" x14ac:dyDescent="0.2">
      <c r="A183" t="s">
        <v>212</v>
      </c>
      <c r="B183" s="1">
        <v>46196</v>
      </c>
      <c r="C183" t="s">
        <v>33</v>
      </c>
      <c r="D183">
        <v>1</v>
      </c>
      <c r="E183">
        <v>31.73</v>
      </c>
      <c r="F183">
        <v>31.73</v>
      </c>
      <c r="G183" t="s">
        <v>26</v>
      </c>
      <c r="H183" t="str">
        <f>SUBSTITUTE(J183,"TomÃ¡s Tanaka","Tomas Tanaka")</f>
        <v>Omar Haddad</v>
      </c>
      <c r="J183" t="s">
        <v>21</v>
      </c>
      <c r="K183" t="str">
        <f t="shared" si="2"/>
        <v/>
      </c>
    </row>
    <row r="184" spans="1:11" x14ac:dyDescent="0.2">
      <c r="A184" t="s">
        <v>213</v>
      </c>
      <c r="B184" s="1">
        <v>46096</v>
      </c>
      <c r="C184" t="s">
        <v>25</v>
      </c>
      <c r="D184">
        <v>8</v>
      </c>
      <c r="E184">
        <v>99.49</v>
      </c>
      <c r="F184">
        <v>795.92</v>
      </c>
      <c r="G184" t="s">
        <v>10</v>
      </c>
      <c r="H184" t="str">
        <f>SUBSTITUTE(J184,"TomÃ¡s Tanaka","Tomas Tanaka")</f>
        <v>Sofia Kowalski</v>
      </c>
      <c r="J184" t="s">
        <v>11</v>
      </c>
      <c r="K184" t="str">
        <f t="shared" si="2"/>
        <v/>
      </c>
    </row>
    <row r="185" spans="1:11" x14ac:dyDescent="0.2">
      <c r="A185" t="s">
        <v>214</v>
      </c>
      <c r="B185" s="1">
        <v>46189</v>
      </c>
      <c r="C185" t="s">
        <v>44</v>
      </c>
      <c r="D185">
        <v>2</v>
      </c>
      <c r="E185">
        <v>221.17</v>
      </c>
      <c r="F185">
        <v>442.34</v>
      </c>
      <c r="G185" t="s">
        <v>23</v>
      </c>
      <c r="H185" t="str">
        <f>SUBSTITUTE(J185,"TomÃ¡s Tanaka","Tomas Tanaka")</f>
        <v>Tomas Tanaka</v>
      </c>
      <c r="J185" t="s">
        <v>29</v>
      </c>
      <c r="K185" t="str">
        <f t="shared" si="2"/>
        <v/>
      </c>
    </row>
    <row r="186" spans="1:11" x14ac:dyDescent="0.2">
      <c r="A186" t="s">
        <v>215</v>
      </c>
      <c r="B186" s="1">
        <v>46119</v>
      </c>
      <c r="C186" t="s">
        <v>64</v>
      </c>
      <c r="D186">
        <v>2</v>
      </c>
      <c r="E186">
        <v>67.08</v>
      </c>
      <c r="F186">
        <v>134.16</v>
      </c>
      <c r="G186" t="s">
        <v>20</v>
      </c>
      <c r="H186" t="str">
        <f>SUBSTITUTE(J186,"TomÃ¡s Tanaka","Tomas Tanaka")</f>
        <v>Sofia Kowalski</v>
      </c>
      <c r="J186" t="s">
        <v>11</v>
      </c>
      <c r="K186" t="str">
        <f t="shared" si="2"/>
        <v/>
      </c>
    </row>
    <row r="187" spans="1:11" x14ac:dyDescent="0.2">
      <c r="A187" t="s">
        <v>216</v>
      </c>
      <c r="B187" s="1">
        <v>46057</v>
      </c>
      <c r="C187" t="s">
        <v>35</v>
      </c>
      <c r="D187">
        <v>6</v>
      </c>
      <c r="E187">
        <v>33.5</v>
      </c>
      <c r="F187">
        <v>201</v>
      </c>
      <c r="G187" t="s">
        <v>26</v>
      </c>
      <c r="H187" t="str">
        <f>SUBSTITUTE(J187,"TomÃ¡s Tanaka","Tomas Tanaka")</f>
        <v>Tomas Tanaka</v>
      </c>
      <c r="J187" t="s">
        <v>29</v>
      </c>
      <c r="K187" t="str">
        <f t="shared" si="2"/>
        <v/>
      </c>
    </row>
    <row r="188" spans="1:11" x14ac:dyDescent="0.2">
      <c r="A188" t="s">
        <v>217</v>
      </c>
      <c r="B188" s="1">
        <v>46092</v>
      </c>
      <c r="C188" t="s">
        <v>64</v>
      </c>
      <c r="D188">
        <v>5</v>
      </c>
      <c r="E188">
        <v>50.2</v>
      </c>
      <c r="F188">
        <v>251</v>
      </c>
      <c r="G188" t="s">
        <v>26</v>
      </c>
      <c r="H188" t="str">
        <f>SUBSTITUTE(J188,"TomÃ¡s Tanaka","Tomas Tanaka")</f>
        <v>Chen Bennett</v>
      </c>
      <c r="J188" t="s">
        <v>40</v>
      </c>
      <c r="K188" t="str">
        <f t="shared" si="2"/>
        <v/>
      </c>
    </row>
    <row r="189" spans="1:11" x14ac:dyDescent="0.2">
      <c r="A189" t="s">
        <v>218</v>
      </c>
      <c r="B189" s="1">
        <v>46101</v>
      </c>
      <c r="C189" t="s">
        <v>13</v>
      </c>
      <c r="D189">
        <v>6</v>
      </c>
      <c r="E189">
        <v>58.2</v>
      </c>
      <c r="F189">
        <v>349.2</v>
      </c>
      <c r="G189" t="s">
        <v>20</v>
      </c>
      <c r="H189" t="str">
        <f>SUBSTITUTE(J189,"TomÃ¡s Tanaka","Tomas Tanaka")</f>
        <v>Elena Cohen</v>
      </c>
      <c r="J189" t="s">
        <v>17</v>
      </c>
      <c r="K189" t="str">
        <f t="shared" si="2"/>
        <v/>
      </c>
    </row>
    <row r="190" spans="1:11" x14ac:dyDescent="0.2">
      <c r="A190" t="s">
        <v>219</v>
      </c>
      <c r="B190" s="1">
        <v>46121</v>
      </c>
      <c r="C190" t="s">
        <v>13</v>
      </c>
      <c r="D190">
        <v>8</v>
      </c>
      <c r="E190">
        <v>94.53</v>
      </c>
      <c r="F190">
        <v>756.24</v>
      </c>
      <c r="G190" t="s">
        <v>20</v>
      </c>
      <c r="H190" t="str">
        <f>SUBSTITUTE(J190,"TomÃ¡s Tanaka","Tomas Tanaka")</f>
        <v>Priya Herrera</v>
      </c>
      <c r="J190" t="s">
        <v>36</v>
      </c>
      <c r="K190" t="str">
        <f t="shared" si="2"/>
        <v/>
      </c>
    </row>
    <row r="191" spans="1:11" x14ac:dyDescent="0.2">
      <c r="A191" t="s">
        <v>220</v>
      </c>
      <c r="B191" s="1">
        <v>46130</v>
      </c>
      <c r="C191" t="s">
        <v>31</v>
      </c>
      <c r="D191">
        <v>1</v>
      </c>
      <c r="E191">
        <v>95.14</v>
      </c>
      <c r="F191">
        <v>95.14</v>
      </c>
      <c r="G191" t="s">
        <v>26</v>
      </c>
      <c r="H191" t="str">
        <f>SUBSTITUTE(J191,"TomÃ¡s Tanaka","Tomas Tanaka")</f>
        <v>Elena Cohen</v>
      </c>
      <c r="J191" t="s">
        <v>17</v>
      </c>
      <c r="K191" t="str">
        <f t="shared" si="2"/>
        <v/>
      </c>
    </row>
    <row r="192" spans="1:11" x14ac:dyDescent="0.2">
      <c r="A192" t="s">
        <v>221</v>
      </c>
      <c r="B192" s="1">
        <v>46156</v>
      </c>
      <c r="C192" t="s">
        <v>39</v>
      </c>
      <c r="D192">
        <v>4</v>
      </c>
      <c r="E192">
        <v>166.53</v>
      </c>
      <c r="F192">
        <v>666.12</v>
      </c>
      <c r="G192" t="s">
        <v>26</v>
      </c>
      <c r="H192" t="str">
        <f>SUBSTITUTE(J192,"TomÃ¡s Tanaka","Tomas Tanaka")</f>
        <v>Priya Herrera</v>
      </c>
      <c r="J192" t="s">
        <v>36</v>
      </c>
      <c r="K192" t="str">
        <f t="shared" si="2"/>
        <v/>
      </c>
    </row>
    <row r="193" spans="1:11" x14ac:dyDescent="0.2">
      <c r="A193" t="s">
        <v>222</v>
      </c>
      <c r="B193" s="1">
        <v>46116</v>
      </c>
      <c r="C193" t="s">
        <v>19</v>
      </c>
      <c r="D193">
        <v>7</v>
      </c>
      <c r="E193">
        <v>80.180000000000007</v>
      </c>
      <c r="F193">
        <v>561.26</v>
      </c>
      <c r="G193" t="s">
        <v>14</v>
      </c>
      <c r="H193" t="str">
        <f>SUBSTITUTE(J193,"TomÃ¡s Tanaka","Tomas Tanaka")</f>
        <v>Omar Haddad</v>
      </c>
      <c r="J193" t="s">
        <v>21</v>
      </c>
      <c r="K193" t="str">
        <f t="shared" si="2"/>
        <v/>
      </c>
    </row>
    <row r="194" spans="1:11" x14ac:dyDescent="0.2">
      <c r="A194" t="s">
        <v>223</v>
      </c>
      <c r="B194" s="1">
        <v>46084</v>
      </c>
      <c r="C194" t="s">
        <v>25</v>
      </c>
      <c r="D194">
        <v>4</v>
      </c>
      <c r="E194">
        <v>225.85</v>
      </c>
      <c r="F194">
        <v>903.4</v>
      </c>
      <c r="G194" t="s">
        <v>26</v>
      </c>
      <c r="H194" t="str">
        <f>SUBSTITUTE(J194,"TomÃ¡s Tanaka","Tomas Tanaka")</f>
        <v>Elena Cohen</v>
      </c>
      <c r="J194" t="s">
        <v>17</v>
      </c>
      <c r="K194" t="str">
        <f t="shared" si="2"/>
        <v/>
      </c>
    </row>
    <row r="195" spans="1:11" x14ac:dyDescent="0.2">
      <c r="A195" t="s">
        <v>224</v>
      </c>
      <c r="B195" s="1">
        <v>46112</v>
      </c>
      <c r="C195" t="s">
        <v>28</v>
      </c>
      <c r="D195">
        <v>4</v>
      </c>
      <c r="E195">
        <v>213.73</v>
      </c>
      <c r="F195">
        <v>854.92</v>
      </c>
      <c r="G195" t="s">
        <v>26</v>
      </c>
      <c r="H195" t="str">
        <f>SUBSTITUTE(J195,"TomÃ¡s Tanaka","Tomas Tanaka")</f>
        <v>Omar Haddad</v>
      </c>
      <c r="J195" t="s">
        <v>21</v>
      </c>
      <c r="K195" t="str">
        <f t="shared" si="2"/>
        <v/>
      </c>
    </row>
    <row r="196" spans="1:11" x14ac:dyDescent="0.2">
      <c r="A196" t="s">
        <v>225</v>
      </c>
      <c r="B196" s="1">
        <v>46024</v>
      </c>
      <c r="C196" t="s">
        <v>19</v>
      </c>
      <c r="D196">
        <v>6</v>
      </c>
      <c r="E196">
        <v>235.01</v>
      </c>
      <c r="F196">
        <v>1410.06</v>
      </c>
      <c r="G196" t="s">
        <v>10</v>
      </c>
      <c r="H196" t="str">
        <f>SUBSTITUTE(J196,"TomÃ¡s Tanaka","Tomas Tanaka")</f>
        <v>Sofia Kowalski</v>
      </c>
      <c r="J196" t="s">
        <v>11</v>
      </c>
      <c r="K196" t="str">
        <f t="shared" si="2"/>
        <v/>
      </c>
    </row>
    <row r="197" spans="1:11" x14ac:dyDescent="0.2">
      <c r="A197" t="s">
        <v>226</v>
      </c>
      <c r="B197" s="1">
        <v>46048</v>
      </c>
      <c r="C197" t="s">
        <v>39</v>
      </c>
      <c r="D197">
        <v>4</v>
      </c>
      <c r="E197">
        <v>177.54</v>
      </c>
      <c r="F197">
        <v>710.16</v>
      </c>
      <c r="G197" t="s">
        <v>23</v>
      </c>
      <c r="H197" t="str">
        <f>SUBSTITUTE(J197,"TomÃ¡s Tanaka","Tomas Tanaka")</f>
        <v>Priya Herrera</v>
      </c>
      <c r="J197" t="s">
        <v>36</v>
      </c>
      <c r="K197" t="str">
        <f t="shared" si="2"/>
        <v/>
      </c>
    </row>
    <row r="198" spans="1:11" x14ac:dyDescent="0.2">
      <c r="A198" t="s">
        <v>227</v>
      </c>
      <c r="B198" s="1">
        <v>46024</v>
      </c>
      <c r="C198" t="s">
        <v>28</v>
      </c>
      <c r="D198">
        <v>6</v>
      </c>
      <c r="E198">
        <v>210.8</v>
      </c>
      <c r="F198">
        <v>1264.8</v>
      </c>
      <c r="G198" t="s">
        <v>20</v>
      </c>
      <c r="H198" t="str">
        <f>SUBSTITUTE(J198,"TomÃ¡s Tanaka","Tomas Tanaka")</f>
        <v>Omar Haddad</v>
      </c>
      <c r="J198" t="s">
        <v>21</v>
      </c>
      <c r="K198" t="str">
        <f t="shared" si="2"/>
        <v/>
      </c>
    </row>
    <row r="199" spans="1:11" x14ac:dyDescent="0.2">
      <c r="A199" t="s">
        <v>228</v>
      </c>
      <c r="B199" s="1">
        <v>46099</v>
      </c>
      <c r="C199" t="s">
        <v>13</v>
      </c>
      <c r="D199">
        <v>1</v>
      </c>
      <c r="E199">
        <v>10.1</v>
      </c>
      <c r="F199">
        <v>10.1</v>
      </c>
      <c r="G199" t="s">
        <v>14</v>
      </c>
      <c r="H199" t="str">
        <f>SUBSTITUTE(J199,"TomÃ¡s Tanaka","Tomas Tanaka")</f>
        <v>Priya Herrera</v>
      </c>
      <c r="J199" t="s">
        <v>36</v>
      </c>
      <c r="K199" t="str">
        <f t="shared" si="2"/>
        <v/>
      </c>
    </row>
    <row r="200" spans="1:11" x14ac:dyDescent="0.2">
      <c r="A200" t="s">
        <v>229</v>
      </c>
      <c r="B200" s="1">
        <v>46038</v>
      </c>
      <c r="C200" t="s">
        <v>39</v>
      </c>
      <c r="D200">
        <v>8</v>
      </c>
      <c r="E200">
        <v>192.08</v>
      </c>
      <c r="F200">
        <v>1536.64</v>
      </c>
      <c r="G200" t="s">
        <v>10</v>
      </c>
      <c r="H200" t="str">
        <f>SUBSTITUTE(J200,"TomÃ¡s Tanaka","Tomas Tanaka")</f>
        <v>Tomas Tanaka</v>
      </c>
      <c r="J200" t="s">
        <v>29</v>
      </c>
      <c r="K200" t="str">
        <f t="shared" si="2"/>
        <v/>
      </c>
    </row>
    <row r="201" spans="1:11" x14ac:dyDescent="0.2">
      <c r="A201" t="s">
        <v>230</v>
      </c>
      <c r="B201" s="1">
        <v>46026</v>
      </c>
      <c r="C201" t="s">
        <v>28</v>
      </c>
      <c r="D201">
        <v>6</v>
      </c>
      <c r="E201">
        <v>134.68</v>
      </c>
      <c r="F201">
        <v>808.08</v>
      </c>
      <c r="G201" t="s">
        <v>10</v>
      </c>
      <c r="H201" t="str">
        <f>SUBSTITUTE(J201,"TomÃ¡s Tanaka","Tomas Tanaka")</f>
        <v>Priya Herrera</v>
      </c>
      <c r="J201" t="s">
        <v>36</v>
      </c>
      <c r="K201" t="str">
        <f t="shared" ref="K201:K241" si="3">SUBSTITUTE(I201,"TomÃ¡s Tanaka","Tomas Tanaka")</f>
        <v/>
      </c>
    </row>
    <row r="202" spans="1:11" x14ac:dyDescent="0.2">
      <c r="A202" t="s">
        <v>231</v>
      </c>
      <c r="B202" s="1">
        <v>46084</v>
      </c>
      <c r="C202" t="s">
        <v>44</v>
      </c>
      <c r="D202">
        <v>4</v>
      </c>
      <c r="E202">
        <v>24.02</v>
      </c>
      <c r="F202">
        <v>96.08</v>
      </c>
      <c r="G202" t="s">
        <v>23</v>
      </c>
      <c r="H202" t="str">
        <f>SUBSTITUTE(J202,"TomÃ¡s Tanaka","Tomas Tanaka")</f>
        <v>Chen Bennett</v>
      </c>
      <c r="J202" t="s">
        <v>40</v>
      </c>
      <c r="K202" t="str">
        <f t="shared" si="3"/>
        <v/>
      </c>
    </row>
    <row r="203" spans="1:11" x14ac:dyDescent="0.2">
      <c r="A203" t="s">
        <v>232</v>
      </c>
      <c r="B203" s="1">
        <v>46178</v>
      </c>
      <c r="C203" t="s">
        <v>33</v>
      </c>
      <c r="D203">
        <v>7</v>
      </c>
      <c r="E203">
        <v>90.5</v>
      </c>
      <c r="F203">
        <v>633.5</v>
      </c>
      <c r="G203" t="s">
        <v>20</v>
      </c>
      <c r="H203" t="str">
        <f>SUBSTITUTE(J203,"TomÃ¡s Tanaka","Tomas Tanaka")</f>
        <v>Elena Cohen</v>
      </c>
      <c r="J203" t="s">
        <v>17</v>
      </c>
      <c r="K203" t="str">
        <f t="shared" si="3"/>
        <v/>
      </c>
    </row>
    <row r="204" spans="1:11" x14ac:dyDescent="0.2">
      <c r="A204" t="s">
        <v>233</v>
      </c>
      <c r="B204" s="1">
        <v>46171</v>
      </c>
      <c r="C204" t="s">
        <v>31</v>
      </c>
      <c r="D204">
        <v>4</v>
      </c>
      <c r="E204">
        <v>189.38</v>
      </c>
      <c r="F204">
        <v>757.52</v>
      </c>
      <c r="G204" t="s">
        <v>26</v>
      </c>
      <c r="H204" t="str">
        <f>SUBSTITUTE(J204,"TomÃ¡s Tanaka","Tomas Tanaka")</f>
        <v>Tomas Tanaka</v>
      </c>
      <c r="J204" t="s">
        <v>29</v>
      </c>
      <c r="K204" t="str">
        <f t="shared" si="3"/>
        <v/>
      </c>
    </row>
    <row r="205" spans="1:11" x14ac:dyDescent="0.2">
      <c r="A205" t="s">
        <v>234</v>
      </c>
      <c r="B205" s="1">
        <v>46038</v>
      </c>
      <c r="C205" t="s">
        <v>13</v>
      </c>
      <c r="D205">
        <v>6</v>
      </c>
      <c r="E205">
        <v>102.39</v>
      </c>
      <c r="F205">
        <v>614.34</v>
      </c>
      <c r="G205" t="s">
        <v>23</v>
      </c>
      <c r="H205" t="str">
        <f>SUBSTITUTE(J205,"TomÃ¡s Tanaka","Tomas Tanaka")</f>
        <v>Priya Herrera</v>
      </c>
      <c r="J205" t="s">
        <v>36</v>
      </c>
      <c r="K205" t="str">
        <f t="shared" si="3"/>
        <v/>
      </c>
    </row>
    <row r="206" spans="1:11" x14ac:dyDescent="0.2">
      <c r="A206" t="s">
        <v>235</v>
      </c>
      <c r="B206" s="1">
        <v>46139</v>
      </c>
      <c r="C206" t="s">
        <v>31</v>
      </c>
      <c r="D206">
        <v>4</v>
      </c>
      <c r="E206">
        <v>221.55</v>
      </c>
      <c r="F206">
        <v>886.2</v>
      </c>
      <c r="G206" t="s">
        <v>14</v>
      </c>
      <c r="H206" t="str">
        <f>SUBSTITUTE(J206,"TomÃ¡s Tanaka","Tomas Tanaka")</f>
        <v>Chen Bennett</v>
      </c>
      <c r="J206" t="s">
        <v>40</v>
      </c>
      <c r="K206" t="str">
        <f t="shared" si="3"/>
        <v/>
      </c>
    </row>
    <row r="207" spans="1:11" x14ac:dyDescent="0.2">
      <c r="A207" t="s">
        <v>236</v>
      </c>
      <c r="B207" s="1">
        <v>46050</v>
      </c>
      <c r="C207" t="s">
        <v>13</v>
      </c>
      <c r="D207">
        <v>7</v>
      </c>
      <c r="E207">
        <v>229.99</v>
      </c>
      <c r="F207">
        <v>1609.93</v>
      </c>
      <c r="G207" t="s">
        <v>14</v>
      </c>
      <c r="H207" t="str">
        <f>SUBSTITUTE(J207,"TomÃ¡s Tanaka","Tomas Tanaka")</f>
        <v>Tomas Tanaka</v>
      </c>
      <c r="J207" t="s">
        <v>29</v>
      </c>
      <c r="K207" t="str">
        <f t="shared" si="3"/>
        <v/>
      </c>
    </row>
    <row r="208" spans="1:11" x14ac:dyDescent="0.2">
      <c r="A208" t="s">
        <v>237</v>
      </c>
      <c r="B208" s="1">
        <v>46142</v>
      </c>
      <c r="C208" t="s">
        <v>44</v>
      </c>
      <c r="D208">
        <v>3</v>
      </c>
      <c r="E208">
        <v>107.72</v>
      </c>
      <c r="F208">
        <v>323.16000000000003</v>
      </c>
      <c r="G208" t="s">
        <v>10</v>
      </c>
      <c r="H208" t="str">
        <f>SUBSTITUTE(J208,"TomÃ¡s Tanaka","Tomas Tanaka")</f>
        <v>Priya Herrera</v>
      </c>
      <c r="J208" t="s">
        <v>36</v>
      </c>
      <c r="K208" t="str">
        <f t="shared" si="3"/>
        <v/>
      </c>
    </row>
    <row r="209" spans="1:11" x14ac:dyDescent="0.2">
      <c r="A209" t="s">
        <v>238</v>
      </c>
      <c r="B209" s="1">
        <v>46051</v>
      </c>
      <c r="C209" t="s">
        <v>64</v>
      </c>
      <c r="D209">
        <v>3</v>
      </c>
      <c r="E209">
        <v>25.74</v>
      </c>
      <c r="F209">
        <v>77.22</v>
      </c>
      <c r="G209" t="s">
        <v>20</v>
      </c>
      <c r="H209" t="str">
        <f>SUBSTITUTE(J209,"TomÃ¡s Tanaka","Tomas Tanaka")</f>
        <v>Sofia Kowalski</v>
      </c>
      <c r="J209" t="s">
        <v>11</v>
      </c>
      <c r="K209" t="str">
        <f t="shared" si="3"/>
        <v/>
      </c>
    </row>
    <row r="210" spans="1:11" x14ac:dyDescent="0.2">
      <c r="A210" t="s">
        <v>239</v>
      </c>
      <c r="B210" s="1">
        <v>46120</v>
      </c>
      <c r="C210" t="s">
        <v>35</v>
      </c>
      <c r="D210">
        <v>3</v>
      </c>
      <c r="E210">
        <v>165.15</v>
      </c>
      <c r="F210">
        <v>495.45</v>
      </c>
      <c r="G210" t="s">
        <v>20</v>
      </c>
      <c r="H210" t="str">
        <f>SUBSTITUTE(J210,"TomÃ¡s Tanaka","Tomas Tanaka")</f>
        <v>Sofia Kowalski</v>
      </c>
      <c r="J210" t="s">
        <v>11</v>
      </c>
      <c r="K210" t="str">
        <f t="shared" si="3"/>
        <v/>
      </c>
    </row>
    <row r="211" spans="1:11" x14ac:dyDescent="0.2">
      <c r="A211" t="s">
        <v>240</v>
      </c>
      <c r="B211" s="1">
        <v>46053</v>
      </c>
      <c r="C211" t="s">
        <v>16</v>
      </c>
      <c r="D211">
        <v>4</v>
      </c>
      <c r="E211">
        <v>192.3</v>
      </c>
      <c r="F211">
        <v>769.2</v>
      </c>
      <c r="G211" t="s">
        <v>20</v>
      </c>
      <c r="H211" t="str">
        <f>SUBSTITUTE(J211,"TomÃ¡s Tanaka","Tomas Tanaka")</f>
        <v>Priya Herrera</v>
      </c>
      <c r="J211" t="s">
        <v>36</v>
      </c>
      <c r="K211" t="str">
        <f t="shared" si="3"/>
        <v/>
      </c>
    </row>
    <row r="212" spans="1:11" x14ac:dyDescent="0.2">
      <c r="A212" t="s">
        <v>241</v>
      </c>
      <c r="B212" s="1">
        <v>46156</v>
      </c>
      <c r="C212" t="s">
        <v>25</v>
      </c>
      <c r="D212">
        <v>8</v>
      </c>
      <c r="E212">
        <v>222.49</v>
      </c>
      <c r="F212">
        <v>1779.92</v>
      </c>
      <c r="G212" t="s">
        <v>23</v>
      </c>
      <c r="H212" t="str">
        <f>SUBSTITUTE(J212,"TomÃ¡s Tanaka","Tomas Tanaka")</f>
        <v>Chen Bennett</v>
      </c>
      <c r="J212" t="s">
        <v>40</v>
      </c>
      <c r="K212" t="str">
        <f t="shared" si="3"/>
        <v/>
      </c>
    </row>
    <row r="213" spans="1:11" x14ac:dyDescent="0.2">
      <c r="A213" t="s">
        <v>242</v>
      </c>
      <c r="B213" s="1">
        <v>46193</v>
      </c>
      <c r="C213" t="s">
        <v>16</v>
      </c>
      <c r="D213">
        <v>4</v>
      </c>
      <c r="E213">
        <v>176.62</v>
      </c>
      <c r="F213">
        <v>706.48</v>
      </c>
      <c r="G213" t="s">
        <v>14</v>
      </c>
      <c r="H213" t="str">
        <f>SUBSTITUTE(J213,"TomÃ¡s Tanaka","Tomas Tanaka")</f>
        <v>Elena Cohen</v>
      </c>
      <c r="J213" t="s">
        <v>17</v>
      </c>
      <c r="K213" t="str">
        <f t="shared" si="3"/>
        <v/>
      </c>
    </row>
    <row r="214" spans="1:11" x14ac:dyDescent="0.2">
      <c r="A214" t="s">
        <v>243</v>
      </c>
      <c r="B214" s="1">
        <v>46104</v>
      </c>
      <c r="C214" t="s">
        <v>64</v>
      </c>
      <c r="D214">
        <v>4</v>
      </c>
      <c r="E214">
        <v>19.88</v>
      </c>
      <c r="F214">
        <v>79.52</v>
      </c>
      <c r="G214" t="s">
        <v>20</v>
      </c>
      <c r="H214" t="str">
        <f>SUBSTITUTE(J214,"TomÃ¡s Tanaka","Tomas Tanaka")</f>
        <v>Sofia Kowalski</v>
      </c>
      <c r="J214" t="s">
        <v>11</v>
      </c>
      <c r="K214" t="str">
        <f t="shared" si="3"/>
        <v/>
      </c>
    </row>
    <row r="215" spans="1:11" x14ac:dyDescent="0.2">
      <c r="A215" t="s">
        <v>244</v>
      </c>
      <c r="B215" s="1">
        <v>46032</v>
      </c>
      <c r="C215" t="s">
        <v>39</v>
      </c>
      <c r="D215">
        <v>6</v>
      </c>
      <c r="E215">
        <v>80.459999999999994</v>
      </c>
      <c r="F215">
        <v>482.76</v>
      </c>
      <c r="G215" t="s">
        <v>20</v>
      </c>
      <c r="H215" t="str">
        <f>SUBSTITUTE(J215,"TomÃ¡s Tanaka","Tomas Tanaka")</f>
        <v>Omar Haddad</v>
      </c>
      <c r="J215" t="s">
        <v>21</v>
      </c>
      <c r="K215" t="str">
        <f t="shared" si="3"/>
        <v/>
      </c>
    </row>
    <row r="216" spans="1:11" x14ac:dyDescent="0.2">
      <c r="A216" t="s">
        <v>245</v>
      </c>
      <c r="B216" s="1">
        <v>46122</v>
      </c>
      <c r="C216" t="s">
        <v>19</v>
      </c>
      <c r="D216">
        <v>8</v>
      </c>
      <c r="E216">
        <v>59.83</v>
      </c>
      <c r="F216">
        <v>478.64</v>
      </c>
      <c r="G216" t="s">
        <v>10</v>
      </c>
      <c r="H216" t="str">
        <f>SUBSTITUTE(J216,"TomÃ¡s Tanaka","Tomas Tanaka")</f>
        <v>Tomas Tanaka</v>
      </c>
      <c r="J216" t="s">
        <v>29</v>
      </c>
      <c r="K216" t="str">
        <f t="shared" si="3"/>
        <v/>
      </c>
    </row>
    <row r="217" spans="1:11" x14ac:dyDescent="0.2">
      <c r="A217" t="s">
        <v>246</v>
      </c>
      <c r="B217" s="1">
        <v>46141</v>
      </c>
      <c r="C217" t="s">
        <v>33</v>
      </c>
      <c r="D217">
        <v>6</v>
      </c>
      <c r="E217">
        <v>247.09</v>
      </c>
      <c r="F217">
        <v>1482.54</v>
      </c>
      <c r="G217" t="s">
        <v>23</v>
      </c>
      <c r="H217" t="str">
        <f>SUBSTITUTE(J217,"TomÃ¡s Tanaka","Tomas Tanaka")</f>
        <v>Tomas Tanaka</v>
      </c>
      <c r="J217" t="s">
        <v>29</v>
      </c>
      <c r="K217" t="str">
        <f t="shared" si="3"/>
        <v/>
      </c>
    </row>
    <row r="218" spans="1:11" x14ac:dyDescent="0.2">
      <c r="A218" t="s">
        <v>247</v>
      </c>
      <c r="B218" s="1">
        <v>46055</v>
      </c>
      <c r="C218" t="s">
        <v>33</v>
      </c>
      <c r="D218">
        <v>8</v>
      </c>
      <c r="E218">
        <v>75.78</v>
      </c>
      <c r="F218">
        <v>606.24</v>
      </c>
      <c r="G218" t="s">
        <v>10</v>
      </c>
      <c r="H218" t="str">
        <f>SUBSTITUTE(J218,"TomÃ¡s Tanaka","Tomas Tanaka")</f>
        <v>Tomas Tanaka</v>
      </c>
      <c r="J218" t="s">
        <v>29</v>
      </c>
      <c r="K218" t="str">
        <f t="shared" si="3"/>
        <v/>
      </c>
    </row>
    <row r="219" spans="1:11" x14ac:dyDescent="0.2">
      <c r="A219" t="s">
        <v>248</v>
      </c>
      <c r="B219" s="1">
        <v>46125</v>
      </c>
      <c r="C219" t="s">
        <v>13</v>
      </c>
      <c r="D219">
        <v>8</v>
      </c>
      <c r="E219">
        <v>84.2</v>
      </c>
      <c r="F219">
        <v>673.6</v>
      </c>
      <c r="G219" t="s">
        <v>14</v>
      </c>
      <c r="H219" t="str">
        <f>SUBSTITUTE(J219,"TomÃ¡s Tanaka","Tomas Tanaka")</f>
        <v>Chen Bennett</v>
      </c>
      <c r="J219" t="s">
        <v>40</v>
      </c>
      <c r="K219" t="str">
        <f t="shared" si="3"/>
        <v/>
      </c>
    </row>
    <row r="220" spans="1:11" x14ac:dyDescent="0.2">
      <c r="A220" t="s">
        <v>249</v>
      </c>
      <c r="B220" s="1">
        <v>46194</v>
      </c>
      <c r="C220" t="s">
        <v>31</v>
      </c>
      <c r="D220">
        <v>6</v>
      </c>
      <c r="E220">
        <v>176.53</v>
      </c>
      <c r="F220">
        <v>1059.18</v>
      </c>
      <c r="G220" t="s">
        <v>20</v>
      </c>
      <c r="H220" t="str">
        <f>SUBSTITUTE(J220,"TomÃ¡s Tanaka","Tomas Tanaka")</f>
        <v>Elena Cohen</v>
      </c>
      <c r="J220" t="s">
        <v>17</v>
      </c>
      <c r="K220" t="str">
        <f t="shared" si="3"/>
        <v/>
      </c>
    </row>
    <row r="221" spans="1:11" x14ac:dyDescent="0.2">
      <c r="A221" t="s">
        <v>250</v>
      </c>
      <c r="B221" s="1">
        <v>46137</v>
      </c>
      <c r="C221" t="s">
        <v>28</v>
      </c>
      <c r="D221">
        <v>1</v>
      </c>
      <c r="E221">
        <v>41.52</v>
      </c>
      <c r="F221">
        <v>41.52</v>
      </c>
      <c r="G221" t="s">
        <v>23</v>
      </c>
      <c r="H221" t="str">
        <f>SUBSTITUTE(J221,"TomÃ¡s Tanaka","Tomas Tanaka")</f>
        <v>Elena Cohen</v>
      </c>
      <c r="J221" t="s">
        <v>17</v>
      </c>
      <c r="K221" t="str">
        <f t="shared" si="3"/>
        <v/>
      </c>
    </row>
    <row r="222" spans="1:11" x14ac:dyDescent="0.2">
      <c r="A222" t="s">
        <v>251</v>
      </c>
      <c r="B222" s="1">
        <v>46192</v>
      </c>
      <c r="C222" t="s">
        <v>9</v>
      </c>
      <c r="D222">
        <v>8</v>
      </c>
      <c r="E222">
        <v>170.93</v>
      </c>
      <c r="F222">
        <v>1367.44</v>
      </c>
      <c r="G222" t="s">
        <v>14</v>
      </c>
      <c r="H222" t="str">
        <f>SUBSTITUTE(J222,"TomÃ¡s Tanaka","Tomas Tanaka")</f>
        <v>Priya Herrera</v>
      </c>
      <c r="J222" t="s">
        <v>36</v>
      </c>
      <c r="K222" t="str">
        <f t="shared" si="3"/>
        <v/>
      </c>
    </row>
    <row r="223" spans="1:11" x14ac:dyDescent="0.2">
      <c r="A223" t="s">
        <v>252</v>
      </c>
      <c r="B223" s="1">
        <v>46046</v>
      </c>
      <c r="C223" t="s">
        <v>16</v>
      </c>
      <c r="D223">
        <v>6</v>
      </c>
      <c r="E223">
        <v>95.04</v>
      </c>
      <c r="F223">
        <v>570.24</v>
      </c>
      <c r="G223" t="s">
        <v>26</v>
      </c>
      <c r="H223" t="str">
        <f>SUBSTITUTE(J223,"TomÃ¡s Tanaka","Tomas Tanaka")</f>
        <v>Priya Herrera</v>
      </c>
      <c r="J223" t="s">
        <v>36</v>
      </c>
      <c r="K223" t="str">
        <f t="shared" si="3"/>
        <v/>
      </c>
    </row>
    <row r="224" spans="1:11" x14ac:dyDescent="0.2">
      <c r="A224" t="s">
        <v>253</v>
      </c>
      <c r="B224" s="1">
        <v>46197</v>
      </c>
      <c r="C224" t="s">
        <v>44</v>
      </c>
      <c r="D224">
        <v>5</v>
      </c>
      <c r="E224">
        <v>69.34</v>
      </c>
      <c r="F224">
        <v>346.7</v>
      </c>
      <c r="G224" t="s">
        <v>23</v>
      </c>
      <c r="H224" t="str">
        <f>SUBSTITUTE(J224,"TomÃ¡s Tanaka","Tomas Tanaka")</f>
        <v>Omar Haddad</v>
      </c>
      <c r="J224" t="s">
        <v>21</v>
      </c>
      <c r="K224" t="str">
        <f t="shared" si="3"/>
        <v/>
      </c>
    </row>
    <row r="225" spans="1:11" x14ac:dyDescent="0.2">
      <c r="A225" t="s">
        <v>254</v>
      </c>
      <c r="B225" s="1">
        <v>46141</v>
      </c>
      <c r="C225" t="s">
        <v>31</v>
      </c>
      <c r="D225">
        <v>6</v>
      </c>
      <c r="E225">
        <v>84.34</v>
      </c>
      <c r="F225">
        <v>506.04</v>
      </c>
      <c r="G225" t="s">
        <v>10</v>
      </c>
      <c r="H225" t="str">
        <f>SUBSTITUTE(J225,"TomÃ¡s Tanaka","Tomas Tanaka")</f>
        <v>Tomas Tanaka</v>
      </c>
      <c r="J225" t="s">
        <v>29</v>
      </c>
      <c r="K225" t="str">
        <f t="shared" si="3"/>
        <v/>
      </c>
    </row>
    <row r="226" spans="1:11" x14ac:dyDescent="0.2">
      <c r="A226" t="s">
        <v>255</v>
      </c>
      <c r="B226" s="1">
        <v>46083</v>
      </c>
      <c r="C226" t="s">
        <v>19</v>
      </c>
      <c r="D226">
        <v>7</v>
      </c>
      <c r="E226">
        <v>229.31</v>
      </c>
      <c r="F226">
        <v>1605.17</v>
      </c>
      <c r="G226" t="s">
        <v>20</v>
      </c>
      <c r="H226" t="str">
        <f>SUBSTITUTE(J226,"TomÃ¡s Tanaka","Tomas Tanaka")</f>
        <v>Elena Cohen</v>
      </c>
      <c r="J226" t="s">
        <v>17</v>
      </c>
      <c r="K226" t="str">
        <f t="shared" si="3"/>
        <v/>
      </c>
    </row>
    <row r="227" spans="1:11" x14ac:dyDescent="0.2">
      <c r="A227" t="s">
        <v>256</v>
      </c>
      <c r="B227" s="1">
        <v>46068</v>
      </c>
      <c r="C227" t="s">
        <v>16</v>
      </c>
      <c r="D227">
        <v>6</v>
      </c>
      <c r="E227">
        <v>94.56</v>
      </c>
      <c r="F227">
        <v>567.36</v>
      </c>
      <c r="G227" t="s">
        <v>14</v>
      </c>
      <c r="H227" t="str">
        <f>SUBSTITUTE(J227,"TomÃ¡s Tanaka","Tomas Tanaka")</f>
        <v>Tomas Tanaka</v>
      </c>
      <c r="J227" t="s">
        <v>29</v>
      </c>
      <c r="K227" t="str">
        <f t="shared" si="3"/>
        <v/>
      </c>
    </row>
    <row r="228" spans="1:11" x14ac:dyDescent="0.2">
      <c r="A228" t="s">
        <v>257</v>
      </c>
      <c r="B228" s="1">
        <v>46102</v>
      </c>
      <c r="C228" t="s">
        <v>64</v>
      </c>
      <c r="D228">
        <v>2</v>
      </c>
      <c r="E228">
        <v>69.33</v>
      </c>
      <c r="F228">
        <v>138.66</v>
      </c>
      <c r="G228" t="s">
        <v>26</v>
      </c>
      <c r="H228" t="str">
        <f>SUBSTITUTE(J228,"TomÃ¡s Tanaka","Tomas Tanaka")</f>
        <v>Tomas Tanaka</v>
      </c>
      <c r="J228" t="s">
        <v>29</v>
      </c>
      <c r="K228" t="str">
        <f t="shared" si="3"/>
        <v/>
      </c>
    </row>
    <row r="229" spans="1:11" x14ac:dyDescent="0.2">
      <c r="A229" t="s">
        <v>258</v>
      </c>
      <c r="B229" s="1">
        <v>46119</v>
      </c>
      <c r="C229" t="s">
        <v>64</v>
      </c>
      <c r="D229">
        <v>5</v>
      </c>
      <c r="E229">
        <v>188.12</v>
      </c>
      <c r="F229">
        <v>940.6</v>
      </c>
      <c r="G229" t="s">
        <v>23</v>
      </c>
      <c r="H229" t="str">
        <f>SUBSTITUTE(J229,"TomÃ¡s Tanaka","Tomas Tanaka")</f>
        <v>Priya Herrera</v>
      </c>
      <c r="J229" t="s">
        <v>36</v>
      </c>
      <c r="K229" t="str">
        <f t="shared" si="3"/>
        <v/>
      </c>
    </row>
    <row r="230" spans="1:11" x14ac:dyDescent="0.2">
      <c r="A230" t="s">
        <v>259</v>
      </c>
      <c r="B230" s="1">
        <v>46201</v>
      </c>
      <c r="C230" t="s">
        <v>35</v>
      </c>
      <c r="D230">
        <v>1</v>
      </c>
      <c r="E230">
        <v>246.25</v>
      </c>
      <c r="F230">
        <v>246.25</v>
      </c>
      <c r="G230" t="s">
        <v>23</v>
      </c>
      <c r="H230" t="str">
        <f>SUBSTITUTE(J230,"TomÃ¡s Tanaka","Tomas Tanaka")</f>
        <v>Priya Herrera</v>
      </c>
      <c r="J230" t="s">
        <v>36</v>
      </c>
      <c r="K230" t="str">
        <f t="shared" si="3"/>
        <v/>
      </c>
    </row>
    <row r="231" spans="1:11" x14ac:dyDescent="0.2">
      <c r="A231" t="s">
        <v>260</v>
      </c>
      <c r="B231" s="1">
        <v>46167</v>
      </c>
      <c r="C231" t="s">
        <v>19</v>
      </c>
      <c r="D231">
        <v>3</v>
      </c>
      <c r="E231">
        <v>112.88</v>
      </c>
      <c r="F231">
        <v>338.64</v>
      </c>
      <c r="G231" t="s">
        <v>10</v>
      </c>
      <c r="H231" t="str">
        <f>SUBSTITUTE(J231,"TomÃ¡s Tanaka","Tomas Tanaka")</f>
        <v>Priya Herrera</v>
      </c>
      <c r="J231" t="s">
        <v>36</v>
      </c>
      <c r="K231" t="str">
        <f t="shared" si="3"/>
        <v/>
      </c>
    </row>
    <row r="232" spans="1:11" x14ac:dyDescent="0.2">
      <c r="A232" t="s">
        <v>261</v>
      </c>
      <c r="B232" s="1">
        <v>46187</v>
      </c>
      <c r="C232" t="s">
        <v>25</v>
      </c>
      <c r="D232">
        <v>1</v>
      </c>
      <c r="E232">
        <v>231.32</v>
      </c>
      <c r="F232">
        <v>231.32</v>
      </c>
      <c r="G232" t="s">
        <v>10</v>
      </c>
      <c r="H232" t="str">
        <f>SUBSTITUTE(J232,"TomÃ¡s Tanaka","Tomas Tanaka")</f>
        <v>Elena Cohen</v>
      </c>
      <c r="J232" t="s">
        <v>17</v>
      </c>
      <c r="K232" t="str">
        <f t="shared" si="3"/>
        <v/>
      </c>
    </row>
    <row r="233" spans="1:11" x14ac:dyDescent="0.2">
      <c r="A233" t="s">
        <v>262</v>
      </c>
      <c r="B233" s="1">
        <v>46191</v>
      </c>
      <c r="C233" t="s">
        <v>16</v>
      </c>
      <c r="D233">
        <v>6</v>
      </c>
      <c r="E233">
        <v>22.2</v>
      </c>
      <c r="F233">
        <v>133.19999999999999</v>
      </c>
      <c r="G233" t="s">
        <v>14</v>
      </c>
      <c r="H233" t="str">
        <f>SUBSTITUTE(J233,"TomÃ¡s Tanaka","Tomas Tanaka")</f>
        <v>Tomas Tanaka</v>
      </c>
      <c r="J233" t="s">
        <v>29</v>
      </c>
      <c r="K233" t="str">
        <f t="shared" si="3"/>
        <v/>
      </c>
    </row>
    <row r="234" spans="1:11" x14ac:dyDescent="0.2">
      <c r="A234" t="s">
        <v>263</v>
      </c>
      <c r="B234" s="1">
        <v>46193</v>
      </c>
      <c r="C234" t="s">
        <v>44</v>
      </c>
      <c r="D234">
        <v>1</v>
      </c>
      <c r="E234">
        <v>183.55</v>
      </c>
      <c r="F234">
        <v>183.55</v>
      </c>
      <c r="G234" t="s">
        <v>26</v>
      </c>
      <c r="H234" t="str">
        <f>SUBSTITUTE(J234,"TomÃ¡s Tanaka","Tomas Tanaka")</f>
        <v>Omar Haddad</v>
      </c>
      <c r="J234" t="s">
        <v>21</v>
      </c>
      <c r="K234" t="str">
        <f t="shared" si="3"/>
        <v/>
      </c>
    </row>
    <row r="235" spans="1:11" x14ac:dyDescent="0.2">
      <c r="A235" t="s">
        <v>264</v>
      </c>
      <c r="B235" s="1">
        <v>46104</v>
      </c>
      <c r="C235" t="s">
        <v>35</v>
      </c>
      <c r="D235">
        <v>3</v>
      </c>
      <c r="E235">
        <v>108.9</v>
      </c>
      <c r="F235">
        <v>326.7</v>
      </c>
      <c r="G235" t="s">
        <v>23</v>
      </c>
      <c r="H235" t="str">
        <f>SUBSTITUTE(J235,"TomÃ¡s Tanaka","Tomas Tanaka")</f>
        <v>Sofia Kowalski</v>
      </c>
      <c r="J235" t="s">
        <v>11</v>
      </c>
      <c r="K235" t="str">
        <f t="shared" si="3"/>
        <v/>
      </c>
    </row>
    <row r="236" spans="1:11" x14ac:dyDescent="0.2">
      <c r="A236" t="s">
        <v>265</v>
      </c>
      <c r="B236" s="1">
        <v>46057</v>
      </c>
      <c r="C236" t="s">
        <v>44</v>
      </c>
      <c r="D236">
        <v>3</v>
      </c>
      <c r="E236">
        <v>51.62</v>
      </c>
      <c r="F236">
        <v>154.86000000000001</v>
      </c>
      <c r="G236" t="s">
        <v>10</v>
      </c>
      <c r="H236" t="str">
        <f>SUBSTITUTE(J236,"TomÃ¡s Tanaka","Tomas Tanaka")</f>
        <v>Elena Cohen</v>
      </c>
      <c r="J236" t="s">
        <v>17</v>
      </c>
      <c r="K236" t="str">
        <f t="shared" si="3"/>
        <v/>
      </c>
    </row>
    <row r="237" spans="1:11" x14ac:dyDescent="0.2">
      <c r="A237" t="s">
        <v>266</v>
      </c>
      <c r="B237" s="1">
        <v>46029</v>
      </c>
      <c r="C237" t="s">
        <v>35</v>
      </c>
      <c r="D237">
        <v>2</v>
      </c>
      <c r="E237">
        <v>115.03</v>
      </c>
      <c r="F237">
        <v>230.06</v>
      </c>
      <c r="G237" t="s">
        <v>26</v>
      </c>
      <c r="H237" t="str">
        <f>SUBSTITUTE(J237,"TomÃ¡s Tanaka","Tomas Tanaka")</f>
        <v>Chen Bennett</v>
      </c>
      <c r="J237" t="s">
        <v>40</v>
      </c>
      <c r="K237" t="str">
        <f t="shared" si="3"/>
        <v/>
      </c>
    </row>
    <row r="238" spans="1:11" x14ac:dyDescent="0.2">
      <c r="A238" t="s">
        <v>267</v>
      </c>
      <c r="B238" s="1">
        <v>46191</v>
      </c>
      <c r="C238" t="s">
        <v>28</v>
      </c>
      <c r="D238">
        <v>8</v>
      </c>
      <c r="E238">
        <v>208.4</v>
      </c>
      <c r="F238">
        <v>1667.2</v>
      </c>
      <c r="G238" t="s">
        <v>10</v>
      </c>
      <c r="H238" t="str">
        <f>SUBSTITUTE(J238,"TomÃ¡s Tanaka","Tomas Tanaka")</f>
        <v>Sofia Kowalski</v>
      </c>
      <c r="J238" t="s">
        <v>11</v>
      </c>
      <c r="K238" t="str">
        <f t="shared" si="3"/>
        <v/>
      </c>
    </row>
    <row r="239" spans="1:11" x14ac:dyDescent="0.2">
      <c r="A239" t="s">
        <v>268</v>
      </c>
      <c r="B239" s="1">
        <v>46167</v>
      </c>
      <c r="C239" t="s">
        <v>39</v>
      </c>
      <c r="D239">
        <v>2</v>
      </c>
      <c r="E239">
        <v>137.09</v>
      </c>
      <c r="F239">
        <v>274.18</v>
      </c>
      <c r="G239" t="s">
        <v>20</v>
      </c>
      <c r="H239" t="str">
        <f>SUBSTITUTE(J239,"TomÃ¡s Tanaka","Tomas Tanaka")</f>
        <v>Tomas Tanaka</v>
      </c>
      <c r="J239" t="s">
        <v>29</v>
      </c>
      <c r="K239" t="str">
        <f t="shared" si="3"/>
        <v/>
      </c>
    </row>
    <row r="240" spans="1:11" x14ac:dyDescent="0.2">
      <c r="A240" t="s">
        <v>269</v>
      </c>
      <c r="B240" s="1">
        <v>46157</v>
      </c>
      <c r="C240" t="s">
        <v>25</v>
      </c>
      <c r="D240">
        <v>6</v>
      </c>
      <c r="E240">
        <v>163.43</v>
      </c>
      <c r="F240">
        <v>980.58</v>
      </c>
      <c r="G240" t="s">
        <v>14</v>
      </c>
      <c r="H240" t="str">
        <f>SUBSTITUTE(J240,"TomÃ¡s Tanaka","Tomas Tanaka")</f>
        <v>Omar Haddad</v>
      </c>
      <c r="J240" t="s">
        <v>21</v>
      </c>
      <c r="K240" t="str">
        <f t="shared" si="3"/>
        <v/>
      </c>
    </row>
    <row r="241" spans="1:11" x14ac:dyDescent="0.2">
      <c r="A241" t="s">
        <v>270</v>
      </c>
      <c r="B241" s="1">
        <v>46116</v>
      </c>
      <c r="C241" t="s">
        <v>19</v>
      </c>
      <c r="D241">
        <v>6</v>
      </c>
      <c r="E241">
        <v>160.47</v>
      </c>
      <c r="F241">
        <v>962.82</v>
      </c>
      <c r="G241" t="s">
        <v>23</v>
      </c>
      <c r="H241" t="str">
        <f>SUBSTITUTE(J241,"TomÃ¡s Tanaka","Tomas Tanaka")</f>
        <v>Chen Bennett</v>
      </c>
      <c r="J241" t="s">
        <v>40</v>
      </c>
      <c r="K241" t="str">
        <f t="shared" si="3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942C-9E7C-454A-82C6-871316F58E7D}">
  <dimension ref="A1:H241"/>
  <sheetViews>
    <sheetView workbookViewId="0">
      <selection activeCell="K50" sqref="K50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46146</v>
      </c>
      <c r="C2" t="s">
        <v>9</v>
      </c>
      <c r="D2">
        <v>6</v>
      </c>
      <c r="E2">
        <v>112.7</v>
      </c>
      <c r="F2">
        <v>676.2</v>
      </c>
      <c r="G2" t="s">
        <v>10</v>
      </c>
      <c r="H2" t="s">
        <v>11</v>
      </c>
    </row>
    <row r="3" spans="1:8" x14ac:dyDescent="0.2">
      <c r="A3" t="s">
        <v>12</v>
      </c>
      <c r="B3" s="1">
        <v>46199</v>
      </c>
      <c r="C3" t="s">
        <v>13</v>
      </c>
      <c r="D3">
        <v>6</v>
      </c>
      <c r="E3">
        <v>35.78</v>
      </c>
      <c r="F3">
        <v>214.68</v>
      </c>
      <c r="G3" t="s">
        <v>14</v>
      </c>
      <c r="H3" t="s">
        <v>11</v>
      </c>
    </row>
    <row r="4" spans="1:8" x14ac:dyDescent="0.2">
      <c r="A4" t="s">
        <v>15</v>
      </c>
      <c r="B4" s="1">
        <v>46089</v>
      </c>
      <c r="C4" t="s">
        <v>16</v>
      </c>
      <c r="D4">
        <v>1</v>
      </c>
      <c r="E4">
        <v>111.15</v>
      </c>
      <c r="F4">
        <v>111.15</v>
      </c>
      <c r="G4" t="s">
        <v>14</v>
      </c>
      <c r="H4" t="s">
        <v>17</v>
      </c>
    </row>
    <row r="5" spans="1:8" x14ac:dyDescent="0.2">
      <c r="A5" t="s">
        <v>18</v>
      </c>
      <c r="B5" s="1">
        <v>46067</v>
      </c>
      <c r="C5" t="s">
        <v>19</v>
      </c>
      <c r="D5">
        <v>1</v>
      </c>
      <c r="E5">
        <v>112.67</v>
      </c>
      <c r="F5">
        <v>112.67</v>
      </c>
      <c r="G5" t="s">
        <v>20</v>
      </c>
      <c r="H5" t="s">
        <v>21</v>
      </c>
    </row>
    <row r="6" spans="1:8" x14ac:dyDescent="0.2">
      <c r="A6" t="s">
        <v>22</v>
      </c>
      <c r="B6" s="1">
        <v>46075</v>
      </c>
      <c r="C6" t="s">
        <v>19</v>
      </c>
      <c r="D6">
        <v>1</v>
      </c>
      <c r="E6">
        <v>54.09</v>
      </c>
      <c r="F6">
        <v>54.09</v>
      </c>
      <c r="G6" t="s">
        <v>23</v>
      </c>
      <c r="H6" t="s">
        <v>11</v>
      </c>
    </row>
    <row r="7" spans="1:8" x14ac:dyDescent="0.2">
      <c r="A7" t="s">
        <v>24</v>
      </c>
      <c r="B7" s="1">
        <v>46040</v>
      </c>
      <c r="C7" t="s">
        <v>25</v>
      </c>
      <c r="D7">
        <v>4</v>
      </c>
      <c r="E7">
        <v>215.54</v>
      </c>
      <c r="F7">
        <v>862.16</v>
      </c>
      <c r="G7" t="s">
        <v>26</v>
      </c>
      <c r="H7" t="s">
        <v>21</v>
      </c>
    </row>
    <row r="8" spans="1:8" x14ac:dyDescent="0.2">
      <c r="A8" t="s">
        <v>27</v>
      </c>
      <c r="B8" s="1">
        <v>46125</v>
      </c>
      <c r="C8" t="s">
        <v>28</v>
      </c>
      <c r="D8">
        <v>3</v>
      </c>
      <c r="E8">
        <v>17.52</v>
      </c>
      <c r="F8">
        <v>52.56</v>
      </c>
      <c r="G8" t="s">
        <v>20</v>
      </c>
      <c r="H8" t="s">
        <v>29</v>
      </c>
    </row>
    <row r="9" spans="1:8" x14ac:dyDescent="0.2">
      <c r="A9" t="s">
        <v>30</v>
      </c>
      <c r="B9" s="1">
        <v>46148</v>
      </c>
      <c r="C9" t="s">
        <v>31</v>
      </c>
      <c r="D9">
        <v>6</v>
      </c>
      <c r="E9">
        <v>181.65</v>
      </c>
      <c r="F9">
        <v>1089.9000000000001</v>
      </c>
      <c r="G9" t="s">
        <v>26</v>
      </c>
      <c r="H9" t="s">
        <v>21</v>
      </c>
    </row>
    <row r="10" spans="1:8" x14ac:dyDescent="0.2">
      <c r="A10" t="s">
        <v>32</v>
      </c>
      <c r="B10" s="1">
        <v>46116</v>
      </c>
      <c r="C10" t="s">
        <v>33</v>
      </c>
      <c r="D10">
        <v>8</v>
      </c>
      <c r="E10">
        <v>28.72</v>
      </c>
      <c r="F10">
        <v>229.76</v>
      </c>
      <c r="G10" t="s">
        <v>20</v>
      </c>
      <c r="H10" t="s">
        <v>11</v>
      </c>
    </row>
    <row r="11" spans="1:8" x14ac:dyDescent="0.2">
      <c r="A11" t="s">
        <v>34</v>
      </c>
      <c r="B11" s="1">
        <v>46082</v>
      </c>
      <c r="C11" t="s">
        <v>35</v>
      </c>
      <c r="D11">
        <v>7</v>
      </c>
      <c r="E11">
        <v>143.97</v>
      </c>
      <c r="F11">
        <v>1007.79</v>
      </c>
      <c r="G11" t="s">
        <v>20</v>
      </c>
      <c r="H11" t="s">
        <v>36</v>
      </c>
    </row>
    <row r="12" spans="1:8" x14ac:dyDescent="0.2">
      <c r="A12" t="s">
        <v>37</v>
      </c>
      <c r="B12" s="1">
        <v>46049</v>
      </c>
      <c r="C12" t="s">
        <v>28</v>
      </c>
      <c r="D12">
        <v>7</v>
      </c>
      <c r="E12">
        <v>147.79</v>
      </c>
      <c r="F12">
        <v>1034.53</v>
      </c>
      <c r="G12" t="s">
        <v>10</v>
      </c>
      <c r="H12" t="s">
        <v>36</v>
      </c>
    </row>
    <row r="13" spans="1:8" x14ac:dyDescent="0.2">
      <c r="A13" t="s">
        <v>38</v>
      </c>
      <c r="B13" s="1">
        <v>46161</v>
      </c>
      <c r="C13" t="s">
        <v>39</v>
      </c>
      <c r="D13">
        <v>5</v>
      </c>
      <c r="E13">
        <v>206.67</v>
      </c>
      <c r="F13">
        <v>1033.3499999999999</v>
      </c>
      <c r="G13" t="s">
        <v>10</v>
      </c>
      <c r="H13" t="s">
        <v>40</v>
      </c>
    </row>
    <row r="14" spans="1:8" x14ac:dyDescent="0.2">
      <c r="A14" t="s">
        <v>41</v>
      </c>
      <c r="B14" s="1">
        <v>46131</v>
      </c>
      <c r="C14" t="s">
        <v>13</v>
      </c>
      <c r="D14">
        <v>6</v>
      </c>
      <c r="E14">
        <v>119.74</v>
      </c>
      <c r="F14">
        <v>718.44</v>
      </c>
      <c r="G14" t="s">
        <v>14</v>
      </c>
      <c r="H14" t="s">
        <v>29</v>
      </c>
    </row>
    <row r="15" spans="1:8" x14ac:dyDescent="0.2">
      <c r="A15" t="s">
        <v>42</v>
      </c>
      <c r="B15" s="1">
        <v>46128</v>
      </c>
      <c r="C15" t="s">
        <v>9</v>
      </c>
      <c r="D15">
        <v>2</v>
      </c>
      <c r="E15">
        <v>179.18</v>
      </c>
      <c r="F15">
        <v>358.36</v>
      </c>
      <c r="G15" t="s">
        <v>10</v>
      </c>
      <c r="H15" t="s">
        <v>29</v>
      </c>
    </row>
    <row r="16" spans="1:8" x14ac:dyDescent="0.2">
      <c r="A16" t="s">
        <v>43</v>
      </c>
      <c r="B16" s="1">
        <v>46187</v>
      </c>
      <c r="C16" t="s">
        <v>44</v>
      </c>
      <c r="D16">
        <v>8</v>
      </c>
      <c r="E16">
        <v>149.41</v>
      </c>
      <c r="F16">
        <v>1195.28</v>
      </c>
      <c r="G16" t="s">
        <v>20</v>
      </c>
      <c r="H16" t="s">
        <v>40</v>
      </c>
    </row>
    <row r="17" spans="1:8" x14ac:dyDescent="0.2">
      <c r="A17" t="s">
        <v>45</v>
      </c>
      <c r="B17" s="1">
        <v>46028</v>
      </c>
      <c r="C17" t="s">
        <v>35</v>
      </c>
      <c r="D17">
        <v>1</v>
      </c>
      <c r="E17">
        <v>223.56</v>
      </c>
      <c r="F17">
        <v>223.56</v>
      </c>
      <c r="G17" t="s">
        <v>23</v>
      </c>
      <c r="H17" t="s">
        <v>17</v>
      </c>
    </row>
    <row r="18" spans="1:8" x14ac:dyDescent="0.2">
      <c r="A18" t="s">
        <v>46</v>
      </c>
      <c r="B18" s="1">
        <v>46092</v>
      </c>
      <c r="C18" t="s">
        <v>25</v>
      </c>
      <c r="D18">
        <v>7</v>
      </c>
      <c r="E18">
        <v>59.12</v>
      </c>
      <c r="F18">
        <v>413.84</v>
      </c>
      <c r="G18" t="s">
        <v>10</v>
      </c>
      <c r="H18" t="s">
        <v>40</v>
      </c>
    </row>
    <row r="19" spans="1:8" x14ac:dyDescent="0.2">
      <c r="A19" t="s">
        <v>47</v>
      </c>
      <c r="B19" s="1">
        <v>46129</v>
      </c>
      <c r="C19" t="s">
        <v>9</v>
      </c>
      <c r="D19">
        <v>7</v>
      </c>
      <c r="E19">
        <v>90.62</v>
      </c>
      <c r="F19">
        <v>634.34</v>
      </c>
      <c r="G19" t="s">
        <v>20</v>
      </c>
      <c r="H19" t="s">
        <v>36</v>
      </c>
    </row>
    <row r="20" spans="1:8" x14ac:dyDescent="0.2">
      <c r="A20" t="s">
        <v>48</v>
      </c>
      <c r="B20" s="1">
        <v>46032</v>
      </c>
      <c r="C20" t="s">
        <v>19</v>
      </c>
      <c r="D20">
        <v>2</v>
      </c>
      <c r="E20">
        <v>197.09</v>
      </c>
      <c r="F20">
        <v>394.18</v>
      </c>
      <c r="G20" t="s">
        <v>20</v>
      </c>
      <c r="H20" t="s">
        <v>11</v>
      </c>
    </row>
    <row r="21" spans="1:8" x14ac:dyDescent="0.2">
      <c r="A21" t="s">
        <v>49</v>
      </c>
      <c r="B21" s="1">
        <v>46202</v>
      </c>
      <c r="C21" t="s">
        <v>33</v>
      </c>
      <c r="D21">
        <v>4</v>
      </c>
      <c r="E21">
        <v>167.13</v>
      </c>
      <c r="F21">
        <v>668.52</v>
      </c>
      <c r="G21" t="s">
        <v>20</v>
      </c>
      <c r="H21" t="s">
        <v>36</v>
      </c>
    </row>
    <row r="22" spans="1:8" x14ac:dyDescent="0.2">
      <c r="A22" t="s">
        <v>50</v>
      </c>
      <c r="B22" s="1">
        <v>46128</v>
      </c>
      <c r="C22" t="s">
        <v>39</v>
      </c>
      <c r="D22">
        <v>3</v>
      </c>
      <c r="E22">
        <v>63.19</v>
      </c>
      <c r="F22">
        <v>189.57</v>
      </c>
      <c r="G22" t="s">
        <v>14</v>
      </c>
      <c r="H22" t="s">
        <v>11</v>
      </c>
    </row>
    <row r="23" spans="1:8" x14ac:dyDescent="0.2">
      <c r="A23" t="s">
        <v>51</v>
      </c>
      <c r="B23" s="1">
        <v>46098</v>
      </c>
      <c r="C23" t="s">
        <v>44</v>
      </c>
      <c r="D23">
        <v>3</v>
      </c>
      <c r="E23">
        <v>36.67</v>
      </c>
      <c r="F23">
        <v>110.01</v>
      </c>
      <c r="G23" t="s">
        <v>20</v>
      </c>
      <c r="H23" t="s">
        <v>29</v>
      </c>
    </row>
    <row r="24" spans="1:8" x14ac:dyDescent="0.2">
      <c r="A24" t="s">
        <v>52</v>
      </c>
      <c r="B24" s="1">
        <v>46107</v>
      </c>
      <c r="C24" t="s">
        <v>13</v>
      </c>
      <c r="D24">
        <v>2</v>
      </c>
      <c r="E24">
        <v>179.02</v>
      </c>
      <c r="F24">
        <v>358.04</v>
      </c>
      <c r="G24" t="s">
        <v>23</v>
      </c>
      <c r="H24" t="s">
        <v>21</v>
      </c>
    </row>
    <row r="25" spans="1:8" x14ac:dyDescent="0.2">
      <c r="A25" t="s">
        <v>53</v>
      </c>
      <c r="B25" s="1">
        <v>46111</v>
      </c>
      <c r="C25" t="s">
        <v>25</v>
      </c>
      <c r="D25">
        <v>1</v>
      </c>
      <c r="E25">
        <v>54.88</v>
      </c>
      <c r="F25">
        <v>54.88</v>
      </c>
      <c r="G25" t="s">
        <v>23</v>
      </c>
      <c r="H25" t="s">
        <v>17</v>
      </c>
    </row>
    <row r="26" spans="1:8" x14ac:dyDescent="0.2">
      <c r="A26" t="s">
        <v>54</v>
      </c>
      <c r="B26" s="1">
        <v>46201</v>
      </c>
      <c r="C26" t="s">
        <v>33</v>
      </c>
      <c r="D26">
        <v>4</v>
      </c>
      <c r="E26">
        <v>161.26</v>
      </c>
      <c r="F26">
        <v>645.04</v>
      </c>
      <c r="G26" t="s">
        <v>20</v>
      </c>
      <c r="H26" t="s">
        <v>17</v>
      </c>
    </row>
    <row r="27" spans="1:8" x14ac:dyDescent="0.2">
      <c r="A27" t="s">
        <v>55</v>
      </c>
      <c r="B27" s="1">
        <v>46163</v>
      </c>
      <c r="C27" t="s">
        <v>33</v>
      </c>
      <c r="D27">
        <v>5</v>
      </c>
      <c r="E27">
        <v>214.71</v>
      </c>
      <c r="F27">
        <v>1073.55</v>
      </c>
      <c r="G27" t="s">
        <v>26</v>
      </c>
      <c r="H27" t="s">
        <v>11</v>
      </c>
    </row>
    <row r="28" spans="1:8" x14ac:dyDescent="0.2">
      <c r="A28" t="s">
        <v>56</v>
      </c>
      <c r="B28" s="1">
        <v>46064</v>
      </c>
      <c r="C28" t="s">
        <v>39</v>
      </c>
      <c r="D28">
        <v>5</v>
      </c>
      <c r="E28">
        <v>12.96</v>
      </c>
      <c r="F28">
        <v>64.8</v>
      </c>
      <c r="G28" t="s">
        <v>23</v>
      </c>
      <c r="H28" t="s">
        <v>11</v>
      </c>
    </row>
    <row r="29" spans="1:8" x14ac:dyDescent="0.2">
      <c r="A29" t="s">
        <v>57</v>
      </c>
      <c r="B29" s="1">
        <v>46040</v>
      </c>
      <c r="C29" t="s">
        <v>28</v>
      </c>
      <c r="D29">
        <v>5</v>
      </c>
      <c r="E29">
        <v>68.38</v>
      </c>
      <c r="F29">
        <v>341.9</v>
      </c>
      <c r="G29" t="s">
        <v>23</v>
      </c>
      <c r="H29" t="s">
        <v>36</v>
      </c>
    </row>
    <row r="30" spans="1:8" x14ac:dyDescent="0.2">
      <c r="A30" t="s">
        <v>58</v>
      </c>
      <c r="B30" s="1">
        <v>46194</v>
      </c>
      <c r="C30" t="s">
        <v>9</v>
      </c>
      <c r="D30">
        <v>4</v>
      </c>
      <c r="E30">
        <v>30.61</v>
      </c>
      <c r="F30">
        <v>122.44</v>
      </c>
      <c r="G30" t="s">
        <v>23</v>
      </c>
      <c r="H30" t="s">
        <v>17</v>
      </c>
    </row>
    <row r="31" spans="1:8" x14ac:dyDescent="0.2">
      <c r="A31" t="s">
        <v>59</v>
      </c>
      <c r="B31" s="1">
        <v>46046</v>
      </c>
      <c r="C31" t="s">
        <v>9</v>
      </c>
      <c r="D31">
        <v>8</v>
      </c>
      <c r="E31">
        <v>103.99</v>
      </c>
      <c r="F31">
        <v>831.92</v>
      </c>
      <c r="G31" t="s">
        <v>23</v>
      </c>
      <c r="H31" t="s">
        <v>36</v>
      </c>
    </row>
    <row r="32" spans="1:8" x14ac:dyDescent="0.2">
      <c r="A32" t="s">
        <v>60</v>
      </c>
      <c r="B32" s="1">
        <v>46067</v>
      </c>
      <c r="C32" t="s">
        <v>25</v>
      </c>
      <c r="D32">
        <v>1</v>
      </c>
      <c r="E32">
        <v>217.69</v>
      </c>
      <c r="F32">
        <v>217.69</v>
      </c>
      <c r="G32" t="s">
        <v>23</v>
      </c>
      <c r="H32" t="s">
        <v>17</v>
      </c>
    </row>
    <row r="33" spans="1:8" x14ac:dyDescent="0.2">
      <c r="A33" t="s">
        <v>61</v>
      </c>
      <c r="B33" s="1">
        <v>46186</v>
      </c>
      <c r="C33" t="s">
        <v>39</v>
      </c>
      <c r="D33">
        <v>4</v>
      </c>
      <c r="E33">
        <v>248.32</v>
      </c>
      <c r="F33">
        <v>993.28</v>
      </c>
      <c r="G33" t="s">
        <v>10</v>
      </c>
      <c r="H33" t="s">
        <v>40</v>
      </c>
    </row>
    <row r="34" spans="1:8" x14ac:dyDescent="0.2">
      <c r="A34" t="s">
        <v>62</v>
      </c>
      <c r="B34" s="1">
        <v>46065</v>
      </c>
      <c r="C34" t="s">
        <v>33</v>
      </c>
      <c r="D34">
        <v>7</v>
      </c>
      <c r="E34">
        <v>197.63</v>
      </c>
      <c r="F34">
        <v>1383.41</v>
      </c>
      <c r="G34" t="s">
        <v>26</v>
      </c>
      <c r="H34" t="s">
        <v>21</v>
      </c>
    </row>
    <row r="35" spans="1:8" x14ac:dyDescent="0.2">
      <c r="A35" t="s">
        <v>63</v>
      </c>
      <c r="B35" s="1">
        <v>46135</v>
      </c>
      <c r="C35" t="s">
        <v>64</v>
      </c>
      <c r="D35">
        <v>1</v>
      </c>
      <c r="E35">
        <v>153.5</v>
      </c>
      <c r="F35">
        <v>153.5</v>
      </c>
      <c r="G35" t="s">
        <v>20</v>
      </c>
      <c r="H35" t="s">
        <v>11</v>
      </c>
    </row>
    <row r="36" spans="1:8" x14ac:dyDescent="0.2">
      <c r="A36" t="s">
        <v>65</v>
      </c>
      <c r="B36" s="1">
        <v>46201</v>
      </c>
      <c r="C36" t="s">
        <v>19</v>
      </c>
      <c r="D36">
        <v>4</v>
      </c>
      <c r="E36">
        <v>202.9</v>
      </c>
      <c r="F36">
        <v>811.6</v>
      </c>
      <c r="G36" t="s">
        <v>14</v>
      </c>
      <c r="H36" t="s">
        <v>21</v>
      </c>
    </row>
    <row r="37" spans="1:8" x14ac:dyDescent="0.2">
      <c r="A37" t="s">
        <v>66</v>
      </c>
      <c r="B37" s="1">
        <v>46079</v>
      </c>
      <c r="C37" t="s">
        <v>39</v>
      </c>
      <c r="D37">
        <v>5</v>
      </c>
      <c r="E37">
        <v>135.96</v>
      </c>
      <c r="F37">
        <v>679.8</v>
      </c>
      <c r="G37" t="s">
        <v>23</v>
      </c>
      <c r="H37" t="s">
        <v>40</v>
      </c>
    </row>
    <row r="38" spans="1:8" x14ac:dyDescent="0.2">
      <c r="A38" t="s">
        <v>67</v>
      </c>
      <c r="B38" s="1">
        <v>46024</v>
      </c>
      <c r="C38" t="s">
        <v>28</v>
      </c>
      <c r="D38">
        <v>6</v>
      </c>
      <c r="E38">
        <v>74.489999999999995</v>
      </c>
      <c r="F38">
        <v>446.94</v>
      </c>
      <c r="G38" t="s">
        <v>20</v>
      </c>
      <c r="H38" t="s">
        <v>40</v>
      </c>
    </row>
    <row r="39" spans="1:8" x14ac:dyDescent="0.2">
      <c r="A39" t="s">
        <v>68</v>
      </c>
      <c r="B39" s="1">
        <v>46055</v>
      </c>
      <c r="C39" t="s">
        <v>39</v>
      </c>
      <c r="D39">
        <v>4</v>
      </c>
      <c r="E39">
        <v>115.64</v>
      </c>
      <c r="F39">
        <v>462.56</v>
      </c>
      <c r="G39" t="s">
        <v>20</v>
      </c>
      <c r="H39" t="s">
        <v>17</v>
      </c>
    </row>
    <row r="40" spans="1:8" x14ac:dyDescent="0.2">
      <c r="A40" t="s">
        <v>69</v>
      </c>
      <c r="B40" s="1">
        <v>46182</v>
      </c>
      <c r="C40" t="s">
        <v>33</v>
      </c>
      <c r="D40">
        <v>5</v>
      </c>
      <c r="E40">
        <v>245.5</v>
      </c>
      <c r="F40">
        <v>1227.5</v>
      </c>
      <c r="G40" t="s">
        <v>23</v>
      </c>
      <c r="H40" t="s">
        <v>17</v>
      </c>
    </row>
    <row r="41" spans="1:8" x14ac:dyDescent="0.2">
      <c r="A41" t="s">
        <v>70</v>
      </c>
      <c r="B41" s="1">
        <v>46142</v>
      </c>
      <c r="C41" t="s">
        <v>33</v>
      </c>
      <c r="D41">
        <v>5</v>
      </c>
      <c r="E41">
        <v>161.72</v>
      </c>
      <c r="F41">
        <v>808.6</v>
      </c>
      <c r="G41" t="s">
        <v>23</v>
      </c>
      <c r="H41" t="s">
        <v>36</v>
      </c>
    </row>
    <row r="42" spans="1:8" x14ac:dyDescent="0.2">
      <c r="A42" t="s">
        <v>71</v>
      </c>
      <c r="B42" s="1">
        <v>46079</v>
      </c>
      <c r="C42" t="s">
        <v>31</v>
      </c>
      <c r="D42">
        <v>1</v>
      </c>
      <c r="E42">
        <v>213.38</v>
      </c>
      <c r="F42">
        <v>213.38</v>
      </c>
      <c r="G42" t="s">
        <v>20</v>
      </c>
      <c r="H42" t="s">
        <v>11</v>
      </c>
    </row>
    <row r="43" spans="1:8" x14ac:dyDescent="0.2">
      <c r="A43" t="s">
        <v>72</v>
      </c>
      <c r="B43" s="1">
        <v>46151</v>
      </c>
      <c r="C43" t="s">
        <v>28</v>
      </c>
      <c r="D43">
        <v>3</v>
      </c>
      <c r="E43">
        <v>221.01</v>
      </c>
      <c r="F43">
        <v>663.03</v>
      </c>
      <c r="G43" t="s">
        <v>23</v>
      </c>
      <c r="H43" t="s">
        <v>17</v>
      </c>
    </row>
    <row r="44" spans="1:8" x14ac:dyDescent="0.2">
      <c r="A44" t="s">
        <v>73</v>
      </c>
      <c r="B44" s="1">
        <v>46165</v>
      </c>
      <c r="C44" t="s">
        <v>19</v>
      </c>
      <c r="D44">
        <v>4</v>
      </c>
      <c r="E44">
        <v>158.94999999999999</v>
      </c>
      <c r="F44">
        <v>635.79999999999995</v>
      </c>
      <c r="G44" t="s">
        <v>10</v>
      </c>
      <c r="H44" t="s">
        <v>17</v>
      </c>
    </row>
    <row r="45" spans="1:8" x14ac:dyDescent="0.2">
      <c r="A45" t="s">
        <v>74</v>
      </c>
      <c r="B45" s="1">
        <v>46054</v>
      </c>
      <c r="C45" t="s">
        <v>28</v>
      </c>
      <c r="D45">
        <v>5</v>
      </c>
      <c r="E45">
        <v>37.47</v>
      </c>
      <c r="F45">
        <v>187.35</v>
      </c>
      <c r="G45" t="s">
        <v>26</v>
      </c>
      <c r="H45" t="s">
        <v>21</v>
      </c>
    </row>
    <row r="46" spans="1:8" x14ac:dyDescent="0.2">
      <c r="A46" t="s">
        <v>75</v>
      </c>
      <c r="B46" s="1">
        <v>46114</v>
      </c>
      <c r="C46" t="s">
        <v>39</v>
      </c>
      <c r="D46">
        <v>7</v>
      </c>
      <c r="E46">
        <v>124.94</v>
      </c>
      <c r="F46">
        <v>874.58</v>
      </c>
      <c r="G46" t="s">
        <v>14</v>
      </c>
      <c r="H46" t="s">
        <v>11</v>
      </c>
    </row>
    <row r="47" spans="1:8" x14ac:dyDescent="0.2">
      <c r="A47" t="s">
        <v>76</v>
      </c>
      <c r="B47" s="1">
        <v>46153</v>
      </c>
      <c r="C47" t="s">
        <v>16</v>
      </c>
      <c r="D47">
        <v>1</v>
      </c>
      <c r="E47">
        <v>80.58</v>
      </c>
      <c r="F47">
        <v>80.58</v>
      </c>
      <c r="G47" t="s">
        <v>26</v>
      </c>
      <c r="H47" t="s">
        <v>40</v>
      </c>
    </row>
    <row r="48" spans="1:8" x14ac:dyDescent="0.2">
      <c r="A48" t="s">
        <v>77</v>
      </c>
      <c r="B48" s="1">
        <v>46052</v>
      </c>
      <c r="C48" t="s">
        <v>44</v>
      </c>
      <c r="D48">
        <v>7</v>
      </c>
      <c r="E48">
        <v>143.93</v>
      </c>
      <c r="F48">
        <v>1007.51</v>
      </c>
      <c r="G48" t="s">
        <v>20</v>
      </c>
      <c r="H48" t="s">
        <v>11</v>
      </c>
    </row>
    <row r="49" spans="1:8" x14ac:dyDescent="0.2">
      <c r="A49" t="s">
        <v>78</v>
      </c>
      <c r="B49" s="1">
        <v>46026</v>
      </c>
      <c r="C49" t="s">
        <v>35</v>
      </c>
      <c r="D49">
        <v>1</v>
      </c>
      <c r="E49">
        <v>151.12</v>
      </c>
      <c r="F49">
        <v>151.12</v>
      </c>
      <c r="G49" t="s">
        <v>26</v>
      </c>
      <c r="H49" t="s">
        <v>29</v>
      </c>
    </row>
    <row r="50" spans="1:8" x14ac:dyDescent="0.2">
      <c r="A50" t="s">
        <v>79</v>
      </c>
      <c r="B50" s="1">
        <v>46124</v>
      </c>
      <c r="C50" t="s">
        <v>28</v>
      </c>
      <c r="D50">
        <v>4</v>
      </c>
      <c r="E50">
        <v>84.27</v>
      </c>
      <c r="F50">
        <v>337.08</v>
      </c>
      <c r="G50" t="s">
        <v>14</v>
      </c>
      <c r="H50" t="s">
        <v>21</v>
      </c>
    </row>
    <row r="51" spans="1:8" x14ac:dyDescent="0.2">
      <c r="A51" t="s">
        <v>80</v>
      </c>
      <c r="B51" s="1">
        <v>46049</v>
      </c>
      <c r="C51" t="s">
        <v>39</v>
      </c>
      <c r="D51">
        <v>1</v>
      </c>
      <c r="E51">
        <v>96.96</v>
      </c>
      <c r="F51">
        <v>96.96</v>
      </c>
      <c r="G51" t="s">
        <v>10</v>
      </c>
      <c r="H51" t="s">
        <v>11</v>
      </c>
    </row>
    <row r="52" spans="1:8" x14ac:dyDescent="0.2">
      <c r="A52" t="s">
        <v>81</v>
      </c>
      <c r="B52" s="1">
        <v>46038</v>
      </c>
      <c r="C52" t="s">
        <v>35</v>
      </c>
      <c r="D52">
        <v>7</v>
      </c>
      <c r="E52">
        <v>155.38999999999999</v>
      </c>
      <c r="F52">
        <v>1087.73</v>
      </c>
      <c r="G52" t="s">
        <v>23</v>
      </c>
      <c r="H52" t="s">
        <v>21</v>
      </c>
    </row>
    <row r="53" spans="1:8" x14ac:dyDescent="0.2">
      <c r="A53" t="s">
        <v>82</v>
      </c>
      <c r="B53" s="1">
        <v>46085</v>
      </c>
      <c r="C53" t="s">
        <v>9</v>
      </c>
      <c r="D53">
        <v>3</v>
      </c>
      <c r="E53">
        <v>125.54</v>
      </c>
      <c r="F53">
        <v>376.62</v>
      </c>
      <c r="G53" t="s">
        <v>20</v>
      </c>
      <c r="H53" t="s">
        <v>11</v>
      </c>
    </row>
    <row r="54" spans="1:8" x14ac:dyDescent="0.2">
      <c r="A54" t="s">
        <v>83</v>
      </c>
      <c r="B54" s="1">
        <v>46103</v>
      </c>
      <c r="C54" t="s">
        <v>35</v>
      </c>
      <c r="D54">
        <v>5</v>
      </c>
      <c r="E54">
        <v>70.790000000000006</v>
      </c>
      <c r="F54">
        <v>353.95</v>
      </c>
      <c r="G54" t="s">
        <v>20</v>
      </c>
      <c r="H54" t="s">
        <v>29</v>
      </c>
    </row>
    <row r="55" spans="1:8" x14ac:dyDescent="0.2">
      <c r="A55" t="s">
        <v>84</v>
      </c>
      <c r="B55" s="1">
        <v>46151</v>
      </c>
      <c r="C55" t="s">
        <v>31</v>
      </c>
      <c r="D55">
        <v>6</v>
      </c>
      <c r="E55">
        <v>204.83</v>
      </c>
      <c r="F55">
        <v>1228.98</v>
      </c>
      <c r="G55" t="s">
        <v>23</v>
      </c>
      <c r="H55" t="s">
        <v>11</v>
      </c>
    </row>
    <row r="56" spans="1:8" x14ac:dyDescent="0.2">
      <c r="A56" t="s">
        <v>85</v>
      </c>
      <c r="B56" s="1">
        <v>46196</v>
      </c>
      <c r="C56" t="s">
        <v>44</v>
      </c>
      <c r="D56">
        <v>8</v>
      </c>
      <c r="E56">
        <v>190.17</v>
      </c>
      <c r="F56">
        <v>1521.36</v>
      </c>
      <c r="G56" t="s">
        <v>14</v>
      </c>
      <c r="H56" t="s">
        <v>11</v>
      </c>
    </row>
    <row r="57" spans="1:8" x14ac:dyDescent="0.2">
      <c r="A57" t="s">
        <v>86</v>
      </c>
      <c r="B57" s="1">
        <v>46182</v>
      </c>
      <c r="C57" t="s">
        <v>64</v>
      </c>
      <c r="D57">
        <v>7</v>
      </c>
      <c r="E57">
        <v>239.78</v>
      </c>
      <c r="F57">
        <v>1678.46</v>
      </c>
      <c r="G57" t="s">
        <v>23</v>
      </c>
      <c r="H57" t="s">
        <v>11</v>
      </c>
    </row>
    <row r="58" spans="1:8" x14ac:dyDescent="0.2">
      <c r="A58" t="s">
        <v>87</v>
      </c>
      <c r="B58" s="1">
        <v>46115</v>
      </c>
      <c r="C58" t="s">
        <v>39</v>
      </c>
      <c r="D58">
        <v>8</v>
      </c>
      <c r="E58">
        <v>14</v>
      </c>
      <c r="F58">
        <v>112</v>
      </c>
      <c r="G58" t="s">
        <v>26</v>
      </c>
      <c r="H58" t="s">
        <v>40</v>
      </c>
    </row>
    <row r="59" spans="1:8" x14ac:dyDescent="0.2">
      <c r="A59" t="s">
        <v>88</v>
      </c>
      <c r="B59" s="1">
        <v>46193</v>
      </c>
      <c r="C59" t="s">
        <v>39</v>
      </c>
      <c r="D59">
        <v>2</v>
      </c>
      <c r="E59">
        <v>191.22</v>
      </c>
      <c r="F59">
        <v>382.44</v>
      </c>
      <c r="G59" t="s">
        <v>23</v>
      </c>
      <c r="H59" t="s">
        <v>29</v>
      </c>
    </row>
    <row r="60" spans="1:8" x14ac:dyDescent="0.2">
      <c r="A60" t="s">
        <v>89</v>
      </c>
      <c r="B60" s="1">
        <v>46184</v>
      </c>
      <c r="C60" t="s">
        <v>19</v>
      </c>
      <c r="D60">
        <v>2</v>
      </c>
      <c r="E60">
        <v>183.47</v>
      </c>
      <c r="F60">
        <v>366.94</v>
      </c>
      <c r="G60" t="s">
        <v>26</v>
      </c>
      <c r="H60" t="s">
        <v>29</v>
      </c>
    </row>
    <row r="61" spans="1:8" x14ac:dyDescent="0.2">
      <c r="A61" t="s">
        <v>90</v>
      </c>
      <c r="B61" s="1">
        <v>46185</v>
      </c>
      <c r="C61" t="s">
        <v>64</v>
      </c>
      <c r="D61">
        <v>2</v>
      </c>
      <c r="E61">
        <v>36.29</v>
      </c>
      <c r="F61">
        <v>72.58</v>
      </c>
      <c r="G61" t="s">
        <v>14</v>
      </c>
      <c r="H61" t="s">
        <v>36</v>
      </c>
    </row>
    <row r="62" spans="1:8" x14ac:dyDescent="0.2">
      <c r="A62" t="s">
        <v>91</v>
      </c>
      <c r="B62" s="1">
        <v>46139</v>
      </c>
      <c r="C62" t="s">
        <v>28</v>
      </c>
      <c r="D62">
        <v>7</v>
      </c>
      <c r="E62">
        <v>208.15</v>
      </c>
      <c r="F62">
        <v>1457.05</v>
      </c>
      <c r="G62" t="s">
        <v>10</v>
      </c>
      <c r="H62" t="s">
        <v>29</v>
      </c>
    </row>
    <row r="63" spans="1:8" x14ac:dyDescent="0.2">
      <c r="A63" t="s">
        <v>92</v>
      </c>
      <c r="B63" s="1">
        <v>46032</v>
      </c>
      <c r="C63" t="s">
        <v>33</v>
      </c>
      <c r="D63">
        <v>5</v>
      </c>
      <c r="E63">
        <v>103.77</v>
      </c>
      <c r="F63">
        <v>518.85</v>
      </c>
      <c r="G63" t="s">
        <v>20</v>
      </c>
      <c r="H63" t="s">
        <v>17</v>
      </c>
    </row>
    <row r="64" spans="1:8" x14ac:dyDescent="0.2">
      <c r="A64" t="s">
        <v>93</v>
      </c>
      <c r="B64" s="1">
        <v>46113</v>
      </c>
      <c r="C64" t="s">
        <v>28</v>
      </c>
      <c r="D64">
        <v>7</v>
      </c>
      <c r="E64">
        <v>229.06</v>
      </c>
      <c r="F64">
        <v>1603.42</v>
      </c>
      <c r="G64" t="s">
        <v>20</v>
      </c>
      <c r="H64" t="s">
        <v>17</v>
      </c>
    </row>
    <row r="65" spans="1:8" x14ac:dyDescent="0.2">
      <c r="A65" t="s">
        <v>94</v>
      </c>
      <c r="B65" s="1">
        <v>46183</v>
      </c>
      <c r="C65" t="s">
        <v>44</v>
      </c>
      <c r="D65">
        <v>6</v>
      </c>
      <c r="E65">
        <v>132.61000000000001</v>
      </c>
      <c r="F65">
        <v>795.66</v>
      </c>
      <c r="G65" t="s">
        <v>14</v>
      </c>
      <c r="H65" t="s">
        <v>36</v>
      </c>
    </row>
    <row r="66" spans="1:8" x14ac:dyDescent="0.2">
      <c r="A66" t="s">
        <v>95</v>
      </c>
      <c r="B66" s="1">
        <v>46196</v>
      </c>
      <c r="C66" t="s">
        <v>39</v>
      </c>
      <c r="D66">
        <v>7</v>
      </c>
      <c r="E66">
        <v>213.29</v>
      </c>
      <c r="F66">
        <v>1493.03</v>
      </c>
      <c r="G66" t="s">
        <v>23</v>
      </c>
      <c r="H66" t="s">
        <v>21</v>
      </c>
    </row>
    <row r="67" spans="1:8" x14ac:dyDescent="0.2">
      <c r="A67" t="s">
        <v>96</v>
      </c>
      <c r="B67" s="1">
        <v>46169</v>
      </c>
      <c r="C67" t="s">
        <v>35</v>
      </c>
      <c r="D67">
        <v>4</v>
      </c>
      <c r="E67">
        <v>105.37</v>
      </c>
      <c r="F67">
        <v>421.48</v>
      </c>
      <c r="G67" t="s">
        <v>14</v>
      </c>
      <c r="H67" t="s">
        <v>40</v>
      </c>
    </row>
    <row r="68" spans="1:8" x14ac:dyDescent="0.2">
      <c r="A68" t="s">
        <v>97</v>
      </c>
      <c r="B68" s="1">
        <v>46071</v>
      </c>
      <c r="C68" t="s">
        <v>31</v>
      </c>
      <c r="D68">
        <v>1</v>
      </c>
      <c r="E68">
        <v>55.16</v>
      </c>
      <c r="F68">
        <v>55.16</v>
      </c>
      <c r="G68" t="s">
        <v>26</v>
      </c>
      <c r="H68" t="s">
        <v>40</v>
      </c>
    </row>
    <row r="69" spans="1:8" x14ac:dyDescent="0.2">
      <c r="A69" t="s">
        <v>98</v>
      </c>
      <c r="B69" s="1">
        <v>46098</v>
      </c>
      <c r="C69" t="s">
        <v>31</v>
      </c>
      <c r="D69">
        <v>8</v>
      </c>
      <c r="E69">
        <v>150.91</v>
      </c>
      <c r="F69">
        <v>1207.28</v>
      </c>
      <c r="G69" t="s">
        <v>10</v>
      </c>
      <c r="H69" t="s">
        <v>36</v>
      </c>
    </row>
    <row r="70" spans="1:8" x14ac:dyDescent="0.2">
      <c r="A70" t="s">
        <v>99</v>
      </c>
      <c r="B70" s="1">
        <v>46137</v>
      </c>
      <c r="C70" t="s">
        <v>44</v>
      </c>
      <c r="D70">
        <v>8</v>
      </c>
      <c r="E70">
        <v>55.16</v>
      </c>
      <c r="F70">
        <v>441.28</v>
      </c>
      <c r="G70" t="s">
        <v>10</v>
      </c>
      <c r="H70" t="s">
        <v>17</v>
      </c>
    </row>
    <row r="71" spans="1:8" x14ac:dyDescent="0.2">
      <c r="A71" t="s">
        <v>100</v>
      </c>
      <c r="B71" s="1">
        <v>46147</v>
      </c>
      <c r="C71" t="s">
        <v>33</v>
      </c>
      <c r="D71">
        <v>8</v>
      </c>
      <c r="E71">
        <v>114.94</v>
      </c>
      <c r="F71">
        <v>919.52</v>
      </c>
      <c r="G71" t="s">
        <v>26</v>
      </c>
      <c r="H71" t="s">
        <v>29</v>
      </c>
    </row>
    <row r="72" spans="1:8" x14ac:dyDescent="0.2">
      <c r="A72" t="s">
        <v>101</v>
      </c>
      <c r="B72" s="1">
        <v>46043</v>
      </c>
      <c r="C72" t="s">
        <v>44</v>
      </c>
      <c r="D72">
        <v>7</v>
      </c>
      <c r="E72">
        <v>123.53</v>
      </c>
      <c r="F72">
        <v>864.71</v>
      </c>
      <c r="G72" t="s">
        <v>20</v>
      </c>
      <c r="H72" t="s">
        <v>36</v>
      </c>
    </row>
    <row r="73" spans="1:8" x14ac:dyDescent="0.2">
      <c r="A73" t="s">
        <v>102</v>
      </c>
      <c r="B73" s="1">
        <v>46133</v>
      </c>
      <c r="C73" t="s">
        <v>9</v>
      </c>
      <c r="D73">
        <v>6</v>
      </c>
      <c r="E73">
        <v>106.03</v>
      </c>
      <c r="F73">
        <v>636.17999999999995</v>
      </c>
      <c r="G73" t="s">
        <v>10</v>
      </c>
      <c r="H73" t="s">
        <v>29</v>
      </c>
    </row>
    <row r="74" spans="1:8" x14ac:dyDescent="0.2">
      <c r="A74" t="s">
        <v>103</v>
      </c>
      <c r="B74" s="1">
        <v>46069</v>
      </c>
      <c r="C74" t="s">
        <v>39</v>
      </c>
      <c r="D74">
        <v>8</v>
      </c>
      <c r="E74">
        <v>179.22</v>
      </c>
      <c r="F74">
        <v>1433.76</v>
      </c>
      <c r="G74" t="s">
        <v>23</v>
      </c>
      <c r="H74" t="s">
        <v>29</v>
      </c>
    </row>
    <row r="75" spans="1:8" x14ac:dyDescent="0.2">
      <c r="A75" t="s">
        <v>104</v>
      </c>
      <c r="B75" s="1">
        <v>46133</v>
      </c>
      <c r="C75" t="s">
        <v>33</v>
      </c>
      <c r="D75">
        <v>7</v>
      </c>
      <c r="E75">
        <v>162.66</v>
      </c>
      <c r="F75">
        <v>1138.6199999999999</v>
      </c>
      <c r="G75" t="s">
        <v>10</v>
      </c>
      <c r="H75" t="s">
        <v>40</v>
      </c>
    </row>
    <row r="76" spans="1:8" x14ac:dyDescent="0.2">
      <c r="A76" t="s">
        <v>105</v>
      </c>
      <c r="B76" s="1">
        <v>46144</v>
      </c>
      <c r="C76" t="s">
        <v>35</v>
      </c>
      <c r="D76">
        <v>5</v>
      </c>
      <c r="E76">
        <v>207.98</v>
      </c>
      <c r="F76">
        <v>1039.9000000000001</v>
      </c>
      <c r="G76" t="s">
        <v>26</v>
      </c>
      <c r="H76" t="s">
        <v>11</v>
      </c>
    </row>
    <row r="77" spans="1:8" x14ac:dyDescent="0.2">
      <c r="A77" t="s">
        <v>106</v>
      </c>
      <c r="B77" s="1">
        <v>46160</v>
      </c>
      <c r="C77" t="s">
        <v>64</v>
      </c>
      <c r="D77">
        <v>7</v>
      </c>
      <c r="E77">
        <v>123.91</v>
      </c>
      <c r="F77">
        <v>867.37</v>
      </c>
      <c r="G77" t="s">
        <v>10</v>
      </c>
      <c r="H77" t="s">
        <v>11</v>
      </c>
    </row>
    <row r="78" spans="1:8" x14ac:dyDescent="0.2">
      <c r="A78" t="s">
        <v>107</v>
      </c>
      <c r="B78" s="1">
        <v>46158</v>
      </c>
      <c r="C78" t="s">
        <v>19</v>
      </c>
      <c r="D78">
        <v>4</v>
      </c>
      <c r="E78">
        <v>134.83000000000001</v>
      </c>
      <c r="F78">
        <v>539.32000000000005</v>
      </c>
      <c r="G78" t="s">
        <v>23</v>
      </c>
      <c r="H78" t="s">
        <v>29</v>
      </c>
    </row>
    <row r="79" spans="1:8" x14ac:dyDescent="0.2">
      <c r="A79" t="s">
        <v>108</v>
      </c>
      <c r="B79" s="1">
        <v>46163</v>
      </c>
      <c r="C79" t="s">
        <v>31</v>
      </c>
      <c r="D79">
        <v>6</v>
      </c>
      <c r="E79">
        <v>80.19</v>
      </c>
      <c r="F79">
        <v>481.14</v>
      </c>
      <c r="G79" t="s">
        <v>10</v>
      </c>
      <c r="H79" t="s">
        <v>21</v>
      </c>
    </row>
    <row r="80" spans="1:8" x14ac:dyDescent="0.2">
      <c r="A80" t="s">
        <v>109</v>
      </c>
      <c r="B80" s="1">
        <v>46116</v>
      </c>
      <c r="C80" t="s">
        <v>16</v>
      </c>
      <c r="D80">
        <v>6</v>
      </c>
      <c r="E80">
        <v>45.83</v>
      </c>
      <c r="F80">
        <v>274.98</v>
      </c>
      <c r="G80" t="s">
        <v>10</v>
      </c>
      <c r="H80" t="s">
        <v>21</v>
      </c>
    </row>
    <row r="81" spans="1:8" x14ac:dyDescent="0.2">
      <c r="A81" t="s">
        <v>110</v>
      </c>
      <c r="B81" s="1">
        <v>46093</v>
      </c>
      <c r="C81" t="s">
        <v>28</v>
      </c>
      <c r="D81">
        <v>7</v>
      </c>
      <c r="E81">
        <v>97.22</v>
      </c>
      <c r="F81">
        <v>680.54</v>
      </c>
      <c r="G81" t="s">
        <v>26</v>
      </c>
      <c r="H81" t="s">
        <v>40</v>
      </c>
    </row>
    <row r="82" spans="1:8" x14ac:dyDescent="0.2">
      <c r="A82" t="s">
        <v>111</v>
      </c>
      <c r="B82" s="1">
        <v>46100</v>
      </c>
      <c r="C82" t="s">
        <v>35</v>
      </c>
      <c r="D82">
        <v>7</v>
      </c>
      <c r="E82">
        <v>145.34</v>
      </c>
      <c r="F82">
        <v>1017.38</v>
      </c>
      <c r="G82" t="s">
        <v>14</v>
      </c>
      <c r="H82" t="s">
        <v>40</v>
      </c>
    </row>
    <row r="83" spans="1:8" x14ac:dyDescent="0.2">
      <c r="A83" t="s">
        <v>112</v>
      </c>
      <c r="B83" s="1">
        <v>46045</v>
      </c>
      <c r="C83" t="s">
        <v>13</v>
      </c>
      <c r="D83">
        <v>1</v>
      </c>
      <c r="E83">
        <v>78.430000000000007</v>
      </c>
      <c r="F83">
        <v>78.430000000000007</v>
      </c>
      <c r="G83" t="s">
        <v>20</v>
      </c>
      <c r="H83" t="s">
        <v>17</v>
      </c>
    </row>
    <row r="84" spans="1:8" x14ac:dyDescent="0.2">
      <c r="A84" t="s">
        <v>113</v>
      </c>
      <c r="B84" s="1">
        <v>46075</v>
      </c>
      <c r="C84" t="s">
        <v>35</v>
      </c>
      <c r="D84">
        <v>4</v>
      </c>
      <c r="E84">
        <v>24.31</v>
      </c>
      <c r="F84">
        <v>97.24</v>
      </c>
      <c r="G84" t="s">
        <v>14</v>
      </c>
      <c r="H84" t="s">
        <v>36</v>
      </c>
    </row>
    <row r="85" spans="1:8" x14ac:dyDescent="0.2">
      <c r="A85" t="s">
        <v>114</v>
      </c>
      <c r="B85" s="1">
        <v>46173</v>
      </c>
      <c r="C85" t="s">
        <v>25</v>
      </c>
      <c r="D85">
        <v>3</v>
      </c>
      <c r="E85">
        <v>110.73</v>
      </c>
      <c r="F85">
        <v>332.19</v>
      </c>
      <c r="G85" t="s">
        <v>26</v>
      </c>
      <c r="H85" t="s">
        <v>11</v>
      </c>
    </row>
    <row r="86" spans="1:8" x14ac:dyDescent="0.2">
      <c r="A86" t="s">
        <v>115</v>
      </c>
      <c r="B86" s="1">
        <v>46102</v>
      </c>
      <c r="C86" t="s">
        <v>44</v>
      </c>
      <c r="D86">
        <v>1</v>
      </c>
      <c r="E86">
        <v>211.31</v>
      </c>
      <c r="F86">
        <v>211.31</v>
      </c>
      <c r="G86" t="s">
        <v>23</v>
      </c>
      <c r="H86" t="s">
        <v>40</v>
      </c>
    </row>
    <row r="87" spans="1:8" x14ac:dyDescent="0.2">
      <c r="A87" t="s">
        <v>116</v>
      </c>
      <c r="B87" s="1">
        <v>46025</v>
      </c>
      <c r="C87" t="s">
        <v>19</v>
      </c>
      <c r="D87">
        <v>6</v>
      </c>
      <c r="E87">
        <v>129.28</v>
      </c>
      <c r="F87">
        <v>775.68</v>
      </c>
      <c r="G87" t="s">
        <v>14</v>
      </c>
      <c r="H87" t="s">
        <v>17</v>
      </c>
    </row>
    <row r="88" spans="1:8" x14ac:dyDescent="0.2">
      <c r="A88" t="s">
        <v>117</v>
      </c>
      <c r="B88" s="1">
        <v>46154</v>
      </c>
      <c r="C88" t="s">
        <v>19</v>
      </c>
      <c r="D88">
        <v>6</v>
      </c>
      <c r="E88">
        <v>119.41</v>
      </c>
      <c r="F88">
        <v>716.46</v>
      </c>
      <c r="G88" t="s">
        <v>20</v>
      </c>
      <c r="H88" t="s">
        <v>40</v>
      </c>
    </row>
    <row r="89" spans="1:8" x14ac:dyDescent="0.2">
      <c r="A89" t="s">
        <v>118</v>
      </c>
      <c r="B89" s="1">
        <v>46088</v>
      </c>
      <c r="C89" t="s">
        <v>28</v>
      </c>
      <c r="D89">
        <v>5</v>
      </c>
      <c r="E89">
        <v>247.06</v>
      </c>
      <c r="F89">
        <v>1235.3</v>
      </c>
      <c r="G89" t="s">
        <v>23</v>
      </c>
      <c r="H89" t="s">
        <v>29</v>
      </c>
    </row>
    <row r="90" spans="1:8" x14ac:dyDescent="0.2">
      <c r="A90" t="s">
        <v>119</v>
      </c>
      <c r="B90" s="1">
        <v>46199</v>
      </c>
      <c r="C90" t="s">
        <v>44</v>
      </c>
      <c r="D90">
        <v>8</v>
      </c>
      <c r="E90">
        <v>70.14</v>
      </c>
      <c r="F90">
        <v>561.12</v>
      </c>
      <c r="G90" t="s">
        <v>14</v>
      </c>
      <c r="H90" t="s">
        <v>17</v>
      </c>
    </row>
    <row r="91" spans="1:8" x14ac:dyDescent="0.2">
      <c r="A91" t="s">
        <v>120</v>
      </c>
      <c r="B91" s="1">
        <v>46058</v>
      </c>
      <c r="C91" t="s">
        <v>33</v>
      </c>
      <c r="D91">
        <v>8</v>
      </c>
      <c r="E91">
        <v>190.32</v>
      </c>
      <c r="F91">
        <v>1522.56</v>
      </c>
      <c r="G91" t="s">
        <v>26</v>
      </c>
      <c r="H91" t="s">
        <v>29</v>
      </c>
    </row>
    <row r="92" spans="1:8" x14ac:dyDescent="0.2">
      <c r="A92" t="s">
        <v>121</v>
      </c>
      <c r="B92" s="1">
        <v>46138</v>
      </c>
      <c r="C92" t="s">
        <v>33</v>
      </c>
      <c r="D92">
        <v>2</v>
      </c>
      <c r="E92">
        <v>47.23</v>
      </c>
      <c r="F92">
        <v>94.46</v>
      </c>
      <c r="G92" t="s">
        <v>23</v>
      </c>
      <c r="H92" t="s">
        <v>11</v>
      </c>
    </row>
    <row r="93" spans="1:8" x14ac:dyDescent="0.2">
      <c r="A93" t="s">
        <v>122</v>
      </c>
      <c r="B93" s="1">
        <v>46142</v>
      </c>
      <c r="C93" t="s">
        <v>39</v>
      </c>
      <c r="D93">
        <v>2</v>
      </c>
      <c r="E93">
        <v>129.16</v>
      </c>
      <c r="F93">
        <v>258.32</v>
      </c>
      <c r="G93" t="s">
        <v>20</v>
      </c>
      <c r="H93" t="s">
        <v>11</v>
      </c>
    </row>
    <row r="94" spans="1:8" x14ac:dyDescent="0.2">
      <c r="A94" t="s">
        <v>123</v>
      </c>
      <c r="B94" s="1">
        <v>46105</v>
      </c>
      <c r="C94" t="s">
        <v>39</v>
      </c>
      <c r="D94">
        <v>4</v>
      </c>
      <c r="E94">
        <v>204.21</v>
      </c>
      <c r="F94">
        <v>816.84</v>
      </c>
      <c r="G94" t="s">
        <v>10</v>
      </c>
      <c r="H94" t="s">
        <v>36</v>
      </c>
    </row>
    <row r="95" spans="1:8" x14ac:dyDescent="0.2">
      <c r="A95" t="s">
        <v>124</v>
      </c>
      <c r="B95" s="1">
        <v>46096</v>
      </c>
      <c r="C95" t="s">
        <v>31</v>
      </c>
      <c r="D95">
        <v>7</v>
      </c>
      <c r="E95">
        <v>101.14</v>
      </c>
      <c r="F95">
        <v>707.98</v>
      </c>
      <c r="G95" t="s">
        <v>23</v>
      </c>
      <c r="H95" t="s">
        <v>17</v>
      </c>
    </row>
    <row r="96" spans="1:8" x14ac:dyDescent="0.2">
      <c r="A96" t="s">
        <v>125</v>
      </c>
      <c r="B96" s="1">
        <v>46185</v>
      </c>
      <c r="C96" t="s">
        <v>19</v>
      </c>
      <c r="D96">
        <v>4</v>
      </c>
      <c r="E96">
        <v>87.02</v>
      </c>
      <c r="F96">
        <v>348.08</v>
      </c>
      <c r="G96" t="s">
        <v>26</v>
      </c>
      <c r="H96" t="s">
        <v>29</v>
      </c>
    </row>
    <row r="97" spans="1:8" x14ac:dyDescent="0.2">
      <c r="A97" t="s">
        <v>126</v>
      </c>
      <c r="B97" s="1">
        <v>46036</v>
      </c>
      <c r="C97" t="s">
        <v>13</v>
      </c>
      <c r="D97">
        <v>3</v>
      </c>
      <c r="E97">
        <v>95.05</v>
      </c>
      <c r="F97">
        <v>285.14999999999998</v>
      </c>
      <c r="G97" t="s">
        <v>10</v>
      </c>
      <c r="H97" t="s">
        <v>21</v>
      </c>
    </row>
    <row r="98" spans="1:8" x14ac:dyDescent="0.2">
      <c r="A98" t="s">
        <v>127</v>
      </c>
      <c r="B98" s="1">
        <v>46028</v>
      </c>
      <c r="C98" t="s">
        <v>19</v>
      </c>
      <c r="D98">
        <v>2</v>
      </c>
      <c r="E98">
        <v>157.18</v>
      </c>
      <c r="F98">
        <v>314.36</v>
      </c>
      <c r="G98" t="s">
        <v>20</v>
      </c>
      <c r="H98" t="s">
        <v>11</v>
      </c>
    </row>
    <row r="99" spans="1:8" x14ac:dyDescent="0.2">
      <c r="A99" t="s">
        <v>128</v>
      </c>
      <c r="B99" s="1">
        <v>46184</v>
      </c>
      <c r="C99" t="s">
        <v>9</v>
      </c>
      <c r="D99">
        <v>7</v>
      </c>
      <c r="E99">
        <v>200.15</v>
      </c>
      <c r="F99">
        <v>1401.05</v>
      </c>
      <c r="G99" t="s">
        <v>14</v>
      </c>
      <c r="H99" t="s">
        <v>21</v>
      </c>
    </row>
    <row r="100" spans="1:8" x14ac:dyDescent="0.2">
      <c r="A100" t="s">
        <v>129</v>
      </c>
      <c r="B100" s="1">
        <v>46121</v>
      </c>
      <c r="C100" t="s">
        <v>44</v>
      </c>
      <c r="D100">
        <v>8</v>
      </c>
      <c r="E100">
        <v>211.02</v>
      </c>
      <c r="F100">
        <v>1688.16</v>
      </c>
      <c r="G100" t="s">
        <v>14</v>
      </c>
      <c r="H100" t="s">
        <v>36</v>
      </c>
    </row>
    <row r="101" spans="1:8" x14ac:dyDescent="0.2">
      <c r="A101" t="s">
        <v>130</v>
      </c>
      <c r="B101" s="1">
        <v>46170</v>
      </c>
      <c r="C101" t="s">
        <v>25</v>
      </c>
      <c r="D101">
        <v>6</v>
      </c>
      <c r="E101">
        <v>95.39</v>
      </c>
      <c r="F101">
        <v>572.34</v>
      </c>
      <c r="G101" t="s">
        <v>10</v>
      </c>
      <c r="H101" t="s">
        <v>21</v>
      </c>
    </row>
    <row r="102" spans="1:8" x14ac:dyDescent="0.2">
      <c r="A102" t="s">
        <v>131</v>
      </c>
      <c r="B102" s="1">
        <v>46120</v>
      </c>
      <c r="C102" t="s">
        <v>64</v>
      </c>
      <c r="D102">
        <v>3</v>
      </c>
      <c r="E102">
        <v>174.42</v>
      </c>
      <c r="F102">
        <v>523.26</v>
      </c>
      <c r="G102" t="s">
        <v>20</v>
      </c>
      <c r="H102" t="s">
        <v>36</v>
      </c>
    </row>
    <row r="103" spans="1:8" x14ac:dyDescent="0.2">
      <c r="A103" t="s">
        <v>132</v>
      </c>
      <c r="B103" s="1">
        <v>46151</v>
      </c>
      <c r="C103" t="s">
        <v>28</v>
      </c>
      <c r="D103">
        <v>3</v>
      </c>
      <c r="E103">
        <v>20.420000000000002</v>
      </c>
      <c r="F103">
        <v>61.26</v>
      </c>
      <c r="G103" t="s">
        <v>10</v>
      </c>
      <c r="H103" t="s">
        <v>36</v>
      </c>
    </row>
    <row r="104" spans="1:8" x14ac:dyDescent="0.2">
      <c r="A104" t="s">
        <v>133</v>
      </c>
      <c r="B104" s="1">
        <v>46114</v>
      </c>
      <c r="C104" t="s">
        <v>31</v>
      </c>
      <c r="D104">
        <v>2</v>
      </c>
      <c r="E104">
        <v>147.5</v>
      </c>
      <c r="F104">
        <v>295</v>
      </c>
      <c r="G104" t="s">
        <v>10</v>
      </c>
      <c r="H104" t="s">
        <v>40</v>
      </c>
    </row>
    <row r="105" spans="1:8" x14ac:dyDescent="0.2">
      <c r="A105" t="s">
        <v>134</v>
      </c>
      <c r="B105" s="1">
        <v>46070</v>
      </c>
      <c r="C105" t="s">
        <v>64</v>
      </c>
      <c r="D105">
        <v>5</v>
      </c>
      <c r="E105">
        <v>145.81</v>
      </c>
      <c r="F105">
        <v>729.05</v>
      </c>
      <c r="G105" t="s">
        <v>10</v>
      </c>
      <c r="H105" t="s">
        <v>40</v>
      </c>
    </row>
    <row r="106" spans="1:8" x14ac:dyDescent="0.2">
      <c r="A106" t="s">
        <v>135</v>
      </c>
      <c r="B106" s="1">
        <v>46058</v>
      </c>
      <c r="C106" t="s">
        <v>33</v>
      </c>
      <c r="D106">
        <v>8</v>
      </c>
      <c r="E106">
        <v>199.7</v>
      </c>
      <c r="F106">
        <v>1597.6</v>
      </c>
      <c r="G106" t="s">
        <v>14</v>
      </c>
      <c r="H106" t="s">
        <v>17</v>
      </c>
    </row>
    <row r="107" spans="1:8" x14ac:dyDescent="0.2">
      <c r="A107" t="s">
        <v>136</v>
      </c>
      <c r="B107" s="1">
        <v>46197</v>
      </c>
      <c r="C107" t="s">
        <v>9</v>
      </c>
      <c r="D107">
        <v>1</v>
      </c>
      <c r="E107">
        <v>136.09</v>
      </c>
      <c r="F107">
        <v>136.09</v>
      </c>
      <c r="G107" t="s">
        <v>10</v>
      </c>
      <c r="H107" t="s">
        <v>17</v>
      </c>
    </row>
    <row r="108" spans="1:8" x14ac:dyDescent="0.2">
      <c r="A108" t="s">
        <v>137</v>
      </c>
      <c r="B108" s="1">
        <v>46198</v>
      </c>
      <c r="C108" t="s">
        <v>33</v>
      </c>
      <c r="D108">
        <v>5</v>
      </c>
      <c r="E108">
        <v>199.37</v>
      </c>
      <c r="F108">
        <v>996.85</v>
      </c>
      <c r="G108" t="s">
        <v>26</v>
      </c>
      <c r="H108" t="s">
        <v>17</v>
      </c>
    </row>
    <row r="109" spans="1:8" x14ac:dyDescent="0.2">
      <c r="A109" t="s">
        <v>138</v>
      </c>
      <c r="B109" s="1">
        <v>46112</v>
      </c>
      <c r="C109" t="s">
        <v>35</v>
      </c>
      <c r="D109">
        <v>5</v>
      </c>
      <c r="E109">
        <v>21.33</v>
      </c>
      <c r="F109">
        <v>106.65</v>
      </c>
      <c r="G109" t="s">
        <v>26</v>
      </c>
      <c r="H109" t="s">
        <v>11</v>
      </c>
    </row>
    <row r="110" spans="1:8" x14ac:dyDescent="0.2">
      <c r="A110" t="s">
        <v>139</v>
      </c>
      <c r="B110" s="1">
        <v>46123</v>
      </c>
      <c r="C110" t="s">
        <v>9</v>
      </c>
      <c r="D110">
        <v>5</v>
      </c>
      <c r="E110">
        <v>92.38</v>
      </c>
      <c r="F110">
        <v>461.9</v>
      </c>
      <c r="G110" t="s">
        <v>14</v>
      </c>
      <c r="H110" t="s">
        <v>36</v>
      </c>
    </row>
    <row r="111" spans="1:8" x14ac:dyDescent="0.2">
      <c r="A111" t="s">
        <v>140</v>
      </c>
      <c r="B111" s="1">
        <v>46066</v>
      </c>
      <c r="C111" t="s">
        <v>9</v>
      </c>
      <c r="D111">
        <v>2</v>
      </c>
      <c r="E111">
        <v>82.19</v>
      </c>
      <c r="F111">
        <v>164.38</v>
      </c>
      <c r="G111" t="s">
        <v>10</v>
      </c>
      <c r="H111" t="s">
        <v>40</v>
      </c>
    </row>
    <row r="112" spans="1:8" x14ac:dyDescent="0.2">
      <c r="A112" t="s">
        <v>141</v>
      </c>
      <c r="B112" s="1">
        <v>46200</v>
      </c>
      <c r="C112" t="s">
        <v>19</v>
      </c>
      <c r="D112">
        <v>5</v>
      </c>
      <c r="E112">
        <v>164.71</v>
      </c>
      <c r="F112">
        <v>823.55</v>
      </c>
      <c r="G112" t="s">
        <v>14</v>
      </c>
      <c r="H112" t="s">
        <v>40</v>
      </c>
    </row>
    <row r="113" spans="1:8" x14ac:dyDescent="0.2">
      <c r="A113" t="s">
        <v>142</v>
      </c>
      <c r="B113" s="1">
        <v>46066</v>
      </c>
      <c r="C113" t="s">
        <v>19</v>
      </c>
      <c r="D113">
        <v>3</v>
      </c>
      <c r="E113">
        <v>16.97</v>
      </c>
      <c r="F113">
        <v>50.91</v>
      </c>
      <c r="G113" t="s">
        <v>23</v>
      </c>
      <c r="H113" t="s">
        <v>11</v>
      </c>
    </row>
    <row r="114" spans="1:8" x14ac:dyDescent="0.2">
      <c r="A114" t="s">
        <v>143</v>
      </c>
      <c r="B114" s="1">
        <v>46110</v>
      </c>
      <c r="C114" t="s">
        <v>28</v>
      </c>
      <c r="D114">
        <v>5</v>
      </c>
      <c r="E114">
        <v>116.14</v>
      </c>
      <c r="F114">
        <v>580.70000000000005</v>
      </c>
      <c r="G114" t="s">
        <v>23</v>
      </c>
      <c r="H114" t="s">
        <v>29</v>
      </c>
    </row>
    <row r="115" spans="1:8" x14ac:dyDescent="0.2">
      <c r="A115" t="s">
        <v>144</v>
      </c>
      <c r="B115" s="1">
        <v>46070</v>
      </c>
      <c r="C115" t="s">
        <v>39</v>
      </c>
      <c r="D115">
        <v>8</v>
      </c>
      <c r="E115">
        <v>101.26</v>
      </c>
      <c r="F115">
        <v>810.08</v>
      </c>
      <c r="G115" t="s">
        <v>26</v>
      </c>
      <c r="H115" t="s">
        <v>36</v>
      </c>
    </row>
    <row r="116" spans="1:8" x14ac:dyDescent="0.2">
      <c r="A116" t="s">
        <v>145</v>
      </c>
      <c r="B116" s="1">
        <v>46106</v>
      </c>
      <c r="C116" t="s">
        <v>28</v>
      </c>
      <c r="D116">
        <v>3</v>
      </c>
      <c r="E116">
        <v>106.98</v>
      </c>
      <c r="F116">
        <v>320.94</v>
      </c>
      <c r="G116" t="s">
        <v>10</v>
      </c>
      <c r="H116" t="s">
        <v>11</v>
      </c>
    </row>
    <row r="117" spans="1:8" x14ac:dyDescent="0.2">
      <c r="A117" t="s">
        <v>146</v>
      </c>
      <c r="B117" s="1">
        <v>46180</v>
      </c>
      <c r="C117" t="s">
        <v>25</v>
      </c>
      <c r="D117">
        <v>6</v>
      </c>
      <c r="E117">
        <v>217.82</v>
      </c>
      <c r="F117">
        <v>1306.92</v>
      </c>
      <c r="G117" t="s">
        <v>10</v>
      </c>
      <c r="H117" t="s">
        <v>40</v>
      </c>
    </row>
    <row r="118" spans="1:8" x14ac:dyDescent="0.2">
      <c r="A118" t="s">
        <v>147</v>
      </c>
      <c r="B118" s="1">
        <v>46115</v>
      </c>
      <c r="C118" t="s">
        <v>13</v>
      </c>
      <c r="D118">
        <v>4</v>
      </c>
      <c r="E118">
        <v>82.75</v>
      </c>
      <c r="F118">
        <v>331</v>
      </c>
      <c r="G118" t="s">
        <v>26</v>
      </c>
      <c r="H118" t="s">
        <v>21</v>
      </c>
    </row>
    <row r="119" spans="1:8" x14ac:dyDescent="0.2">
      <c r="A119" t="s">
        <v>148</v>
      </c>
      <c r="B119" s="1">
        <v>46201</v>
      </c>
      <c r="C119" t="s">
        <v>16</v>
      </c>
      <c r="D119">
        <v>2</v>
      </c>
      <c r="E119">
        <v>63.53</v>
      </c>
      <c r="F119">
        <v>127.06</v>
      </c>
      <c r="G119" t="s">
        <v>10</v>
      </c>
      <c r="H119" t="s">
        <v>36</v>
      </c>
    </row>
    <row r="120" spans="1:8" x14ac:dyDescent="0.2">
      <c r="A120" t="s">
        <v>149</v>
      </c>
      <c r="B120" s="1">
        <v>46153</v>
      </c>
      <c r="C120" t="s">
        <v>28</v>
      </c>
      <c r="D120">
        <v>5</v>
      </c>
      <c r="E120">
        <v>133.97999999999999</v>
      </c>
      <c r="F120">
        <v>669.9</v>
      </c>
      <c r="G120" t="s">
        <v>20</v>
      </c>
      <c r="H120" t="s">
        <v>17</v>
      </c>
    </row>
    <row r="121" spans="1:8" x14ac:dyDescent="0.2">
      <c r="A121" t="s">
        <v>150</v>
      </c>
      <c r="B121" s="1">
        <v>46150</v>
      </c>
      <c r="C121" t="s">
        <v>44</v>
      </c>
      <c r="D121">
        <v>2</v>
      </c>
      <c r="E121">
        <v>40.29</v>
      </c>
      <c r="F121">
        <v>80.58</v>
      </c>
      <c r="G121" t="s">
        <v>23</v>
      </c>
      <c r="H121" t="s">
        <v>40</v>
      </c>
    </row>
    <row r="122" spans="1:8" x14ac:dyDescent="0.2">
      <c r="A122" t="s">
        <v>151</v>
      </c>
      <c r="B122" s="1">
        <v>46105</v>
      </c>
      <c r="C122" t="s">
        <v>35</v>
      </c>
      <c r="D122">
        <v>5</v>
      </c>
      <c r="E122">
        <v>67.680000000000007</v>
      </c>
      <c r="F122">
        <v>338.4</v>
      </c>
      <c r="G122" t="s">
        <v>23</v>
      </c>
      <c r="H122" t="s">
        <v>21</v>
      </c>
    </row>
    <row r="123" spans="1:8" x14ac:dyDescent="0.2">
      <c r="A123" t="s">
        <v>152</v>
      </c>
      <c r="B123" s="1">
        <v>46046</v>
      </c>
      <c r="C123" t="s">
        <v>25</v>
      </c>
      <c r="D123">
        <v>4</v>
      </c>
      <c r="E123">
        <v>155.01</v>
      </c>
      <c r="F123">
        <v>620.04</v>
      </c>
      <c r="G123" t="s">
        <v>23</v>
      </c>
      <c r="H123" t="s">
        <v>29</v>
      </c>
    </row>
    <row r="124" spans="1:8" x14ac:dyDescent="0.2">
      <c r="A124" t="s">
        <v>153</v>
      </c>
      <c r="B124" s="1">
        <v>46181</v>
      </c>
      <c r="C124" t="s">
        <v>19</v>
      </c>
      <c r="D124">
        <v>7</v>
      </c>
      <c r="E124">
        <v>164.92</v>
      </c>
      <c r="F124">
        <v>1154.44</v>
      </c>
      <c r="G124" t="s">
        <v>20</v>
      </c>
      <c r="H124" t="s">
        <v>11</v>
      </c>
    </row>
    <row r="125" spans="1:8" x14ac:dyDescent="0.2">
      <c r="A125" t="s">
        <v>154</v>
      </c>
      <c r="B125" s="1">
        <v>46030</v>
      </c>
      <c r="C125" t="s">
        <v>16</v>
      </c>
      <c r="D125">
        <v>4</v>
      </c>
      <c r="E125">
        <v>73.540000000000006</v>
      </c>
      <c r="F125">
        <v>294.16000000000003</v>
      </c>
      <c r="G125" t="s">
        <v>26</v>
      </c>
      <c r="H125" t="s">
        <v>40</v>
      </c>
    </row>
    <row r="126" spans="1:8" x14ac:dyDescent="0.2">
      <c r="A126" t="s">
        <v>155</v>
      </c>
      <c r="B126" s="1">
        <v>46061</v>
      </c>
      <c r="C126" t="s">
        <v>33</v>
      </c>
      <c r="D126">
        <v>6</v>
      </c>
      <c r="E126">
        <v>64.569999999999993</v>
      </c>
      <c r="F126">
        <v>387.42</v>
      </c>
      <c r="G126" t="s">
        <v>26</v>
      </c>
      <c r="H126" t="s">
        <v>17</v>
      </c>
    </row>
    <row r="127" spans="1:8" x14ac:dyDescent="0.2">
      <c r="A127" t="s">
        <v>156</v>
      </c>
      <c r="B127" s="1">
        <v>46078</v>
      </c>
      <c r="C127" t="s">
        <v>33</v>
      </c>
      <c r="D127">
        <v>6</v>
      </c>
      <c r="E127">
        <v>100.31</v>
      </c>
      <c r="F127">
        <v>601.86</v>
      </c>
      <c r="G127" t="s">
        <v>23</v>
      </c>
      <c r="H127" t="s">
        <v>40</v>
      </c>
    </row>
    <row r="128" spans="1:8" x14ac:dyDescent="0.2">
      <c r="A128" t="s">
        <v>157</v>
      </c>
      <c r="B128" s="1">
        <v>46036</v>
      </c>
      <c r="C128" t="s">
        <v>44</v>
      </c>
      <c r="D128">
        <v>2</v>
      </c>
      <c r="E128">
        <v>101.62</v>
      </c>
      <c r="F128">
        <v>203.24</v>
      </c>
      <c r="G128" t="s">
        <v>20</v>
      </c>
      <c r="H128" t="s">
        <v>36</v>
      </c>
    </row>
    <row r="129" spans="1:8" x14ac:dyDescent="0.2">
      <c r="A129" t="s">
        <v>158</v>
      </c>
      <c r="B129" s="1">
        <v>46046</v>
      </c>
      <c r="C129" t="s">
        <v>19</v>
      </c>
      <c r="D129">
        <v>1</v>
      </c>
      <c r="E129">
        <v>218.28</v>
      </c>
      <c r="F129">
        <v>218.28</v>
      </c>
      <c r="G129" t="s">
        <v>20</v>
      </c>
      <c r="H129" t="s">
        <v>36</v>
      </c>
    </row>
    <row r="130" spans="1:8" x14ac:dyDescent="0.2">
      <c r="A130" t="s">
        <v>159</v>
      </c>
      <c r="B130" s="1">
        <v>46144</v>
      </c>
      <c r="C130" t="s">
        <v>64</v>
      </c>
      <c r="D130">
        <v>7</v>
      </c>
      <c r="E130">
        <v>136.88999999999999</v>
      </c>
      <c r="F130">
        <v>958.23</v>
      </c>
      <c r="G130" t="s">
        <v>26</v>
      </c>
      <c r="H130" t="s">
        <v>21</v>
      </c>
    </row>
    <row r="131" spans="1:8" x14ac:dyDescent="0.2">
      <c r="A131" t="s">
        <v>160</v>
      </c>
      <c r="B131" s="1">
        <v>46161</v>
      </c>
      <c r="C131" t="s">
        <v>44</v>
      </c>
      <c r="D131">
        <v>7</v>
      </c>
      <c r="E131">
        <v>222.09</v>
      </c>
      <c r="F131">
        <v>1554.63</v>
      </c>
      <c r="G131" t="s">
        <v>20</v>
      </c>
      <c r="H131" t="s">
        <v>36</v>
      </c>
    </row>
    <row r="132" spans="1:8" x14ac:dyDescent="0.2">
      <c r="A132" t="s">
        <v>161</v>
      </c>
      <c r="B132" s="1">
        <v>46188</v>
      </c>
      <c r="C132" t="s">
        <v>9</v>
      </c>
      <c r="D132">
        <v>8</v>
      </c>
      <c r="E132">
        <v>216.34</v>
      </c>
      <c r="F132">
        <v>1730.72</v>
      </c>
      <c r="G132" t="s">
        <v>14</v>
      </c>
      <c r="H132" t="s">
        <v>21</v>
      </c>
    </row>
    <row r="133" spans="1:8" x14ac:dyDescent="0.2">
      <c r="A133" t="s">
        <v>162</v>
      </c>
      <c r="B133" s="1">
        <v>46155</v>
      </c>
      <c r="C133" t="s">
        <v>35</v>
      </c>
      <c r="D133">
        <v>8</v>
      </c>
      <c r="E133">
        <v>101.86</v>
      </c>
      <c r="F133">
        <v>814.88</v>
      </c>
      <c r="G133" t="s">
        <v>23</v>
      </c>
      <c r="H133" t="s">
        <v>11</v>
      </c>
    </row>
    <row r="134" spans="1:8" x14ac:dyDescent="0.2">
      <c r="A134" t="s">
        <v>163</v>
      </c>
      <c r="B134" s="1">
        <v>46061</v>
      </c>
      <c r="C134" t="s">
        <v>64</v>
      </c>
      <c r="D134">
        <v>4</v>
      </c>
      <c r="E134">
        <v>76.08</v>
      </c>
      <c r="F134">
        <v>304.32</v>
      </c>
      <c r="G134" t="s">
        <v>20</v>
      </c>
      <c r="H134" t="s">
        <v>21</v>
      </c>
    </row>
    <row r="135" spans="1:8" x14ac:dyDescent="0.2">
      <c r="A135" t="s">
        <v>164</v>
      </c>
      <c r="B135" s="1">
        <v>46157</v>
      </c>
      <c r="C135" t="s">
        <v>19</v>
      </c>
      <c r="D135">
        <v>4</v>
      </c>
      <c r="E135">
        <v>86.42</v>
      </c>
      <c r="F135">
        <v>345.68</v>
      </c>
      <c r="G135" t="s">
        <v>10</v>
      </c>
      <c r="H135" t="s">
        <v>29</v>
      </c>
    </row>
    <row r="136" spans="1:8" x14ac:dyDescent="0.2">
      <c r="A136" t="s">
        <v>165</v>
      </c>
      <c r="B136" s="1">
        <v>46160</v>
      </c>
      <c r="C136" t="s">
        <v>13</v>
      </c>
      <c r="D136">
        <v>4</v>
      </c>
      <c r="E136">
        <v>173.35</v>
      </c>
      <c r="F136">
        <v>693.4</v>
      </c>
      <c r="G136" t="s">
        <v>14</v>
      </c>
      <c r="H136" t="s">
        <v>36</v>
      </c>
    </row>
    <row r="137" spans="1:8" x14ac:dyDescent="0.2">
      <c r="A137" t="s">
        <v>166</v>
      </c>
      <c r="B137" s="1">
        <v>46197</v>
      </c>
      <c r="C137" t="s">
        <v>31</v>
      </c>
      <c r="D137">
        <v>1</v>
      </c>
      <c r="E137">
        <v>162.11000000000001</v>
      </c>
      <c r="F137">
        <v>162.11000000000001</v>
      </c>
      <c r="G137" t="s">
        <v>26</v>
      </c>
      <c r="H137" t="s">
        <v>17</v>
      </c>
    </row>
    <row r="138" spans="1:8" x14ac:dyDescent="0.2">
      <c r="A138" t="s">
        <v>167</v>
      </c>
      <c r="B138" s="1">
        <v>46184</v>
      </c>
      <c r="C138" t="s">
        <v>35</v>
      </c>
      <c r="D138">
        <v>5</v>
      </c>
      <c r="E138">
        <v>153.15</v>
      </c>
      <c r="F138">
        <v>765.75</v>
      </c>
      <c r="G138" t="s">
        <v>14</v>
      </c>
      <c r="H138" t="s">
        <v>36</v>
      </c>
    </row>
    <row r="139" spans="1:8" x14ac:dyDescent="0.2">
      <c r="A139" t="s">
        <v>168</v>
      </c>
      <c r="B139" s="1">
        <v>46170</v>
      </c>
      <c r="C139" t="s">
        <v>39</v>
      </c>
      <c r="D139">
        <v>2</v>
      </c>
      <c r="E139">
        <v>155.6</v>
      </c>
      <c r="F139">
        <v>311.2</v>
      </c>
      <c r="G139" t="s">
        <v>23</v>
      </c>
      <c r="H139" t="s">
        <v>11</v>
      </c>
    </row>
    <row r="140" spans="1:8" x14ac:dyDescent="0.2">
      <c r="A140" t="s">
        <v>169</v>
      </c>
      <c r="B140" s="1">
        <v>46169</v>
      </c>
      <c r="C140" t="s">
        <v>16</v>
      </c>
      <c r="D140">
        <v>6</v>
      </c>
      <c r="E140">
        <v>16.7</v>
      </c>
      <c r="F140">
        <v>100.2</v>
      </c>
      <c r="G140" t="s">
        <v>14</v>
      </c>
      <c r="H140" t="s">
        <v>11</v>
      </c>
    </row>
    <row r="141" spans="1:8" x14ac:dyDescent="0.2">
      <c r="A141" t="s">
        <v>170</v>
      </c>
      <c r="B141" s="1">
        <v>46025</v>
      </c>
      <c r="C141" t="s">
        <v>35</v>
      </c>
      <c r="D141">
        <v>6</v>
      </c>
      <c r="E141">
        <v>19.100000000000001</v>
      </c>
      <c r="F141">
        <v>114.6</v>
      </c>
      <c r="G141" t="s">
        <v>10</v>
      </c>
      <c r="H141" t="s">
        <v>36</v>
      </c>
    </row>
    <row r="142" spans="1:8" x14ac:dyDescent="0.2">
      <c r="A142" t="s">
        <v>171</v>
      </c>
      <c r="B142" s="1">
        <v>46105</v>
      </c>
      <c r="C142" t="s">
        <v>9</v>
      </c>
      <c r="D142">
        <v>7</v>
      </c>
      <c r="E142">
        <v>72.069999999999993</v>
      </c>
      <c r="F142">
        <v>504.49</v>
      </c>
      <c r="G142" t="s">
        <v>14</v>
      </c>
      <c r="H142" t="s">
        <v>29</v>
      </c>
    </row>
    <row r="143" spans="1:8" x14ac:dyDescent="0.2">
      <c r="A143" t="s">
        <v>172</v>
      </c>
      <c r="B143" s="1">
        <v>46132</v>
      </c>
      <c r="C143" t="s">
        <v>35</v>
      </c>
      <c r="D143">
        <v>1</v>
      </c>
      <c r="E143">
        <v>124.59</v>
      </c>
      <c r="F143">
        <v>124.59</v>
      </c>
      <c r="G143" t="s">
        <v>20</v>
      </c>
      <c r="H143" t="s">
        <v>17</v>
      </c>
    </row>
    <row r="144" spans="1:8" x14ac:dyDescent="0.2">
      <c r="A144" t="s">
        <v>173</v>
      </c>
      <c r="B144" s="1">
        <v>46134</v>
      </c>
      <c r="C144" t="s">
        <v>28</v>
      </c>
      <c r="D144">
        <v>4</v>
      </c>
      <c r="E144">
        <v>156.06</v>
      </c>
      <c r="F144">
        <v>624.24</v>
      </c>
      <c r="G144" t="s">
        <v>23</v>
      </c>
      <c r="H144" t="s">
        <v>21</v>
      </c>
    </row>
    <row r="145" spans="1:8" x14ac:dyDescent="0.2">
      <c r="A145" t="s">
        <v>174</v>
      </c>
      <c r="B145" s="1">
        <v>46181</v>
      </c>
      <c r="C145" t="s">
        <v>16</v>
      </c>
      <c r="D145">
        <v>7</v>
      </c>
      <c r="E145">
        <v>209.76</v>
      </c>
      <c r="F145">
        <v>1468.32</v>
      </c>
      <c r="G145" t="s">
        <v>23</v>
      </c>
      <c r="H145" t="s">
        <v>17</v>
      </c>
    </row>
    <row r="146" spans="1:8" x14ac:dyDescent="0.2">
      <c r="A146" t="s">
        <v>175</v>
      </c>
      <c r="B146" s="1">
        <v>46183</v>
      </c>
      <c r="C146" t="s">
        <v>19</v>
      </c>
      <c r="D146">
        <v>4</v>
      </c>
      <c r="E146">
        <v>156.38</v>
      </c>
      <c r="F146">
        <v>625.52</v>
      </c>
      <c r="G146" t="s">
        <v>14</v>
      </c>
      <c r="H146" t="s">
        <v>40</v>
      </c>
    </row>
    <row r="147" spans="1:8" x14ac:dyDescent="0.2">
      <c r="A147" t="s">
        <v>176</v>
      </c>
      <c r="B147" s="1">
        <v>46070</v>
      </c>
      <c r="C147" t="s">
        <v>35</v>
      </c>
      <c r="D147">
        <v>1</v>
      </c>
      <c r="E147">
        <v>160.51</v>
      </c>
      <c r="F147">
        <v>160.51</v>
      </c>
      <c r="G147" t="s">
        <v>10</v>
      </c>
      <c r="H147" t="s">
        <v>11</v>
      </c>
    </row>
    <row r="148" spans="1:8" x14ac:dyDescent="0.2">
      <c r="A148" t="s">
        <v>177</v>
      </c>
      <c r="B148" s="1">
        <v>46030</v>
      </c>
      <c r="C148" t="s">
        <v>19</v>
      </c>
      <c r="D148">
        <v>5</v>
      </c>
      <c r="E148">
        <v>97.85</v>
      </c>
      <c r="F148">
        <v>489.25</v>
      </c>
      <c r="G148" t="s">
        <v>26</v>
      </c>
      <c r="H148" t="s">
        <v>11</v>
      </c>
    </row>
    <row r="149" spans="1:8" x14ac:dyDescent="0.2">
      <c r="A149" t="s">
        <v>178</v>
      </c>
      <c r="B149" s="1">
        <v>46182</v>
      </c>
      <c r="C149" t="s">
        <v>31</v>
      </c>
      <c r="D149">
        <v>7</v>
      </c>
      <c r="E149">
        <v>154.63</v>
      </c>
      <c r="F149">
        <v>1082.4100000000001</v>
      </c>
      <c r="G149" t="s">
        <v>14</v>
      </c>
      <c r="H149" t="s">
        <v>36</v>
      </c>
    </row>
    <row r="150" spans="1:8" x14ac:dyDescent="0.2">
      <c r="A150" t="s">
        <v>179</v>
      </c>
      <c r="B150" s="1">
        <v>46177</v>
      </c>
      <c r="C150" t="s">
        <v>31</v>
      </c>
      <c r="D150">
        <v>3</v>
      </c>
      <c r="E150">
        <v>151.96</v>
      </c>
      <c r="F150">
        <v>455.88</v>
      </c>
      <c r="G150" t="s">
        <v>20</v>
      </c>
      <c r="H150" t="s">
        <v>11</v>
      </c>
    </row>
    <row r="151" spans="1:8" x14ac:dyDescent="0.2">
      <c r="A151" t="s">
        <v>180</v>
      </c>
      <c r="B151" s="1">
        <v>46139</v>
      </c>
      <c r="C151" t="s">
        <v>64</v>
      </c>
      <c r="D151">
        <v>4</v>
      </c>
      <c r="E151">
        <v>150.59</v>
      </c>
      <c r="F151">
        <v>602.36</v>
      </c>
      <c r="G151" t="s">
        <v>23</v>
      </c>
      <c r="H151" t="s">
        <v>21</v>
      </c>
    </row>
    <row r="152" spans="1:8" x14ac:dyDescent="0.2">
      <c r="A152" t="s">
        <v>181</v>
      </c>
      <c r="B152" s="1">
        <v>46106</v>
      </c>
      <c r="C152" t="s">
        <v>28</v>
      </c>
      <c r="D152">
        <v>3</v>
      </c>
      <c r="E152">
        <v>52.27</v>
      </c>
      <c r="F152">
        <v>156.81</v>
      </c>
      <c r="G152" t="s">
        <v>20</v>
      </c>
      <c r="H152" t="s">
        <v>17</v>
      </c>
    </row>
    <row r="153" spans="1:8" x14ac:dyDescent="0.2">
      <c r="A153" t="s">
        <v>182</v>
      </c>
      <c r="B153" s="1">
        <v>46125</v>
      </c>
      <c r="C153" t="s">
        <v>33</v>
      </c>
      <c r="D153">
        <v>1</v>
      </c>
      <c r="E153">
        <v>48.08</v>
      </c>
      <c r="F153">
        <v>48.08</v>
      </c>
      <c r="G153" t="s">
        <v>20</v>
      </c>
      <c r="H153" t="s">
        <v>40</v>
      </c>
    </row>
    <row r="154" spans="1:8" x14ac:dyDescent="0.2">
      <c r="A154" t="s">
        <v>183</v>
      </c>
      <c r="B154" s="1">
        <v>46099</v>
      </c>
      <c r="C154" t="s">
        <v>19</v>
      </c>
      <c r="D154">
        <v>7</v>
      </c>
      <c r="E154">
        <v>125.23</v>
      </c>
      <c r="F154">
        <v>876.61</v>
      </c>
      <c r="G154" t="s">
        <v>14</v>
      </c>
      <c r="H154" t="s">
        <v>21</v>
      </c>
    </row>
    <row r="155" spans="1:8" x14ac:dyDescent="0.2">
      <c r="A155" t="s">
        <v>184</v>
      </c>
      <c r="B155" s="1">
        <v>46060</v>
      </c>
      <c r="C155" t="s">
        <v>35</v>
      </c>
      <c r="D155">
        <v>2</v>
      </c>
      <c r="E155">
        <v>76.06</v>
      </c>
      <c r="F155">
        <v>152.12</v>
      </c>
      <c r="G155" t="s">
        <v>26</v>
      </c>
      <c r="H155" t="s">
        <v>21</v>
      </c>
    </row>
    <row r="156" spans="1:8" x14ac:dyDescent="0.2">
      <c r="A156" t="s">
        <v>185</v>
      </c>
      <c r="B156" s="1">
        <v>46102</v>
      </c>
      <c r="C156" t="s">
        <v>28</v>
      </c>
      <c r="D156">
        <v>5</v>
      </c>
      <c r="E156">
        <v>177.09</v>
      </c>
      <c r="F156">
        <v>885.45</v>
      </c>
      <c r="G156" t="s">
        <v>10</v>
      </c>
      <c r="H156" t="s">
        <v>29</v>
      </c>
    </row>
    <row r="157" spans="1:8" x14ac:dyDescent="0.2">
      <c r="A157" t="s">
        <v>186</v>
      </c>
      <c r="B157" s="1">
        <v>46104</v>
      </c>
      <c r="C157" t="s">
        <v>16</v>
      </c>
      <c r="D157">
        <v>2</v>
      </c>
      <c r="E157">
        <v>81.39</v>
      </c>
      <c r="F157">
        <v>162.78</v>
      </c>
      <c r="G157" t="s">
        <v>10</v>
      </c>
      <c r="H157" t="s">
        <v>17</v>
      </c>
    </row>
    <row r="158" spans="1:8" x14ac:dyDescent="0.2">
      <c r="A158" t="s">
        <v>187</v>
      </c>
      <c r="B158" s="1">
        <v>46196</v>
      </c>
      <c r="C158" t="s">
        <v>33</v>
      </c>
      <c r="D158">
        <v>8</v>
      </c>
      <c r="E158">
        <v>186.75</v>
      </c>
      <c r="F158">
        <v>1494</v>
      </c>
      <c r="G158" t="s">
        <v>26</v>
      </c>
      <c r="H158" t="s">
        <v>11</v>
      </c>
    </row>
    <row r="159" spans="1:8" x14ac:dyDescent="0.2">
      <c r="A159" t="s">
        <v>188</v>
      </c>
      <c r="B159" s="1">
        <v>46046</v>
      </c>
      <c r="C159" t="s">
        <v>13</v>
      </c>
      <c r="D159">
        <v>5</v>
      </c>
      <c r="E159">
        <v>105.75</v>
      </c>
      <c r="F159">
        <v>528.75</v>
      </c>
      <c r="G159" t="s">
        <v>14</v>
      </c>
      <c r="H159" t="s">
        <v>11</v>
      </c>
    </row>
    <row r="160" spans="1:8" x14ac:dyDescent="0.2">
      <c r="A160" t="s">
        <v>189</v>
      </c>
      <c r="B160" s="1">
        <v>46093</v>
      </c>
      <c r="C160" t="s">
        <v>28</v>
      </c>
      <c r="D160">
        <v>1</v>
      </c>
      <c r="E160">
        <v>166.85</v>
      </c>
      <c r="F160">
        <v>166.85</v>
      </c>
      <c r="G160" t="s">
        <v>20</v>
      </c>
      <c r="H160" t="s">
        <v>29</v>
      </c>
    </row>
    <row r="161" spans="1:8" x14ac:dyDescent="0.2">
      <c r="A161" t="s">
        <v>190</v>
      </c>
      <c r="B161" s="1">
        <v>46045</v>
      </c>
      <c r="C161" t="s">
        <v>35</v>
      </c>
      <c r="D161">
        <v>4</v>
      </c>
      <c r="E161">
        <v>84.28</v>
      </c>
      <c r="F161">
        <v>337.12</v>
      </c>
      <c r="G161" t="s">
        <v>26</v>
      </c>
      <c r="H161" t="s">
        <v>36</v>
      </c>
    </row>
    <row r="162" spans="1:8" x14ac:dyDescent="0.2">
      <c r="A162" t="s">
        <v>191</v>
      </c>
      <c r="B162" s="1">
        <v>46144</v>
      </c>
      <c r="C162" t="s">
        <v>25</v>
      </c>
      <c r="D162">
        <v>6</v>
      </c>
      <c r="E162">
        <v>131.34</v>
      </c>
      <c r="F162">
        <v>788.04</v>
      </c>
      <c r="G162" t="s">
        <v>14</v>
      </c>
      <c r="H162" t="s">
        <v>36</v>
      </c>
    </row>
    <row r="163" spans="1:8" x14ac:dyDescent="0.2">
      <c r="A163" t="s">
        <v>192</v>
      </c>
      <c r="B163" s="1">
        <v>46194</v>
      </c>
      <c r="C163" t="s">
        <v>35</v>
      </c>
      <c r="D163">
        <v>5</v>
      </c>
      <c r="E163">
        <v>162.13999999999999</v>
      </c>
      <c r="F163">
        <v>810.7</v>
      </c>
      <c r="G163" t="s">
        <v>26</v>
      </c>
      <c r="H163" t="s">
        <v>21</v>
      </c>
    </row>
    <row r="164" spans="1:8" x14ac:dyDescent="0.2">
      <c r="A164" t="s">
        <v>193</v>
      </c>
      <c r="B164" s="1">
        <v>46104</v>
      </c>
      <c r="C164" t="s">
        <v>39</v>
      </c>
      <c r="D164">
        <v>3</v>
      </c>
      <c r="E164">
        <v>202.78</v>
      </c>
      <c r="F164">
        <v>608.34</v>
      </c>
      <c r="G164" t="s">
        <v>26</v>
      </c>
      <c r="H164" t="s">
        <v>11</v>
      </c>
    </row>
    <row r="165" spans="1:8" x14ac:dyDescent="0.2">
      <c r="A165" t="s">
        <v>194</v>
      </c>
      <c r="B165" s="1">
        <v>46126</v>
      </c>
      <c r="C165" t="s">
        <v>13</v>
      </c>
      <c r="D165">
        <v>4</v>
      </c>
      <c r="E165">
        <v>15.58</v>
      </c>
      <c r="F165">
        <v>62.32</v>
      </c>
      <c r="G165" t="s">
        <v>20</v>
      </c>
      <c r="H165" t="s">
        <v>29</v>
      </c>
    </row>
    <row r="166" spans="1:8" x14ac:dyDescent="0.2">
      <c r="A166" t="s">
        <v>195</v>
      </c>
      <c r="B166" s="1">
        <v>46027</v>
      </c>
      <c r="C166" t="s">
        <v>44</v>
      </c>
      <c r="D166">
        <v>4</v>
      </c>
      <c r="E166">
        <v>80.59</v>
      </c>
      <c r="F166">
        <v>322.36</v>
      </c>
      <c r="G166" t="s">
        <v>10</v>
      </c>
      <c r="H166" t="s">
        <v>40</v>
      </c>
    </row>
    <row r="167" spans="1:8" x14ac:dyDescent="0.2">
      <c r="A167" t="s">
        <v>196</v>
      </c>
      <c r="B167" s="1">
        <v>46184</v>
      </c>
      <c r="C167" t="s">
        <v>64</v>
      </c>
      <c r="D167">
        <v>8</v>
      </c>
      <c r="E167">
        <v>82.73</v>
      </c>
      <c r="F167">
        <v>661.84</v>
      </c>
      <c r="G167" t="s">
        <v>26</v>
      </c>
      <c r="H167" t="s">
        <v>40</v>
      </c>
    </row>
    <row r="168" spans="1:8" x14ac:dyDescent="0.2">
      <c r="A168" t="s">
        <v>197</v>
      </c>
      <c r="B168" s="1">
        <v>46163</v>
      </c>
      <c r="C168" t="s">
        <v>19</v>
      </c>
      <c r="D168">
        <v>4</v>
      </c>
      <c r="E168">
        <v>20.57</v>
      </c>
      <c r="F168">
        <v>82.28</v>
      </c>
      <c r="G168" t="s">
        <v>26</v>
      </c>
      <c r="H168" t="s">
        <v>40</v>
      </c>
    </row>
    <row r="169" spans="1:8" x14ac:dyDescent="0.2">
      <c r="A169" t="s">
        <v>198</v>
      </c>
      <c r="B169" s="1">
        <v>46038</v>
      </c>
      <c r="C169" t="s">
        <v>64</v>
      </c>
      <c r="D169">
        <v>5</v>
      </c>
      <c r="E169">
        <v>26.98</v>
      </c>
      <c r="F169">
        <v>134.9</v>
      </c>
      <c r="G169" t="s">
        <v>23</v>
      </c>
      <c r="H169" t="s">
        <v>11</v>
      </c>
    </row>
    <row r="170" spans="1:8" x14ac:dyDescent="0.2">
      <c r="A170" t="s">
        <v>199</v>
      </c>
      <c r="B170" s="1">
        <v>46046</v>
      </c>
      <c r="C170" t="s">
        <v>19</v>
      </c>
      <c r="D170">
        <v>7</v>
      </c>
      <c r="E170">
        <v>216.51</v>
      </c>
      <c r="F170">
        <v>1515.57</v>
      </c>
      <c r="G170" t="s">
        <v>10</v>
      </c>
      <c r="H170" t="s">
        <v>29</v>
      </c>
    </row>
    <row r="171" spans="1:8" x14ac:dyDescent="0.2">
      <c r="A171" t="s">
        <v>200</v>
      </c>
      <c r="B171" s="1">
        <v>46148</v>
      </c>
      <c r="C171" t="s">
        <v>16</v>
      </c>
      <c r="D171">
        <v>6</v>
      </c>
      <c r="E171">
        <v>119.56</v>
      </c>
      <c r="F171">
        <v>717.36</v>
      </c>
      <c r="G171" t="s">
        <v>23</v>
      </c>
      <c r="H171" t="s">
        <v>17</v>
      </c>
    </row>
    <row r="172" spans="1:8" x14ac:dyDescent="0.2">
      <c r="A172" t="s">
        <v>201</v>
      </c>
      <c r="B172" s="1">
        <v>46102</v>
      </c>
      <c r="C172" t="s">
        <v>33</v>
      </c>
      <c r="D172">
        <v>6</v>
      </c>
      <c r="E172">
        <v>67.73</v>
      </c>
      <c r="F172">
        <v>406.38</v>
      </c>
      <c r="G172" t="s">
        <v>26</v>
      </c>
      <c r="H172" t="s">
        <v>40</v>
      </c>
    </row>
    <row r="173" spans="1:8" x14ac:dyDescent="0.2">
      <c r="A173" t="s">
        <v>202</v>
      </c>
      <c r="B173" s="1">
        <v>46193</v>
      </c>
      <c r="C173" t="s">
        <v>31</v>
      </c>
      <c r="D173">
        <v>3</v>
      </c>
      <c r="E173">
        <v>88.69</v>
      </c>
      <c r="F173">
        <v>266.07</v>
      </c>
      <c r="G173" t="s">
        <v>26</v>
      </c>
      <c r="H173" t="s">
        <v>36</v>
      </c>
    </row>
    <row r="174" spans="1:8" x14ac:dyDescent="0.2">
      <c r="A174" t="s">
        <v>203</v>
      </c>
      <c r="B174" s="1">
        <v>46162</v>
      </c>
      <c r="C174" t="s">
        <v>31</v>
      </c>
      <c r="D174">
        <v>7</v>
      </c>
      <c r="E174">
        <v>17.850000000000001</v>
      </c>
      <c r="F174">
        <v>124.95</v>
      </c>
      <c r="G174" t="s">
        <v>26</v>
      </c>
      <c r="H174" t="s">
        <v>17</v>
      </c>
    </row>
    <row r="175" spans="1:8" x14ac:dyDescent="0.2">
      <c r="A175" t="s">
        <v>204</v>
      </c>
      <c r="B175" s="1">
        <v>46149</v>
      </c>
      <c r="C175" t="s">
        <v>19</v>
      </c>
      <c r="D175">
        <v>2</v>
      </c>
      <c r="E175">
        <v>100.99</v>
      </c>
      <c r="F175">
        <v>201.98</v>
      </c>
      <c r="G175" t="s">
        <v>26</v>
      </c>
      <c r="H175" t="s">
        <v>36</v>
      </c>
    </row>
    <row r="176" spans="1:8" x14ac:dyDescent="0.2">
      <c r="A176" t="s">
        <v>205</v>
      </c>
      <c r="B176" s="1">
        <v>46187</v>
      </c>
      <c r="C176" t="s">
        <v>9</v>
      </c>
      <c r="D176">
        <v>1</v>
      </c>
      <c r="E176">
        <v>111.2</v>
      </c>
      <c r="F176">
        <v>111.2</v>
      </c>
      <c r="G176" t="s">
        <v>23</v>
      </c>
      <c r="H176" t="s">
        <v>29</v>
      </c>
    </row>
    <row r="177" spans="1:8" x14ac:dyDescent="0.2">
      <c r="A177" t="s">
        <v>206</v>
      </c>
      <c r="B177" s="1">
        <v>46084</v>
      </c>
      <c r="C177" t="s">
        <v>64</v>
      </c>
      <c r="D177">
        <v>2</v>
      </c>
      <c r="E177">
        <v>101.15</v>
      </c>
      <c r="F177">
        <v>202.3</v>
      </c>
      <c r="G177" t="s">
        <v>14</v>
      </c>
      <c r="H177" t="s">
        <v>17</v>
      </c>
    </row>
    <row r="178" spans="1:8" x14ac:dyDescent="0.2">
      <c r="A178" t="s">
        <v>207</v>
      </c>
      <c r="B178" s="1">
        <v>46182</v>
      </c>
      <c r="C178" t="s">
        <v>13</v>
      </c>
      <c r="D178">
        <v>6</v>
      </c>
      <c r="E178">
        <v>133.08000000000001</v>
      </c>
      <c r="F178">
        <v>798.48</v>
      </c>
      <c r="G178" t="s">
        <v>26</v>
      </c>
      <c r="H178" t="s">
        <v>36</v>
      </c>
    </row>
    <row r="179" spans="1:8" x14ac:dyDescent="0.2">
      <c r="A179" t="s">
        <v>208</v>
      </c>
      <c r="B179" s="1">
        <v>46079</v>
      </c>
      <c r="C179" t="s">
        <v>16</v>
      </c>
      <c r="D179">
        <v>1</v>
      </c>
      <c r="E179">
        <v>230.15</v>
      </c>
      <c r="F179">
        <v>230.15</v>
      </c>
      <c r="G179" t="s">
        <v>20</v>
      </c>
      <c r="H179" t="s">
        <v>21</v>
      </c>
    </row>
    <row r="180" spans="1:8" x14ac:dyDescent="0.2">
      <c r="A180" t="s">
        <v>209</v>
      </c>
      <c r="B180" s="1">
        <v>46075</v>
      </c>
      <c r="C180" t="s">
        <v>25</v>
      </c>
      <c r="D180">
        <v>6</v>
      </c>
      <c r="E180">
        <v>97.76</v>
      </c>
      <c r="F180">
        <v>586.55999999999995</v>
      </c>
      <c r="G180" t="s">
        <v>26</v>
      </c>
      <c r="H180" t="s">
        <v>21</v>
      </c>
    </row>
    <row r="181" spans="1:8" x14ac:dyDescent="0.2">
      <c r="A181" t="s">
        <v>210</v>
      </c>
      <c r="B181" s="1">
        <v>46156</v>
      </c>
      <c r="C181" t="s">
        <v>16</v>
      </c>
      <c r="D181">
        <v>3</v>
      </c>
      <c r="E181">
        <v>71.11</v>
      </c>
      <c r="F181">
        <v>213.33</v>
      </c>
      <c r="G181" t="s">
        <v>20</v>
      </c>
      <c r="H181" t="s">
        <v>11</v>
      </c>
    </row>
    <row r="182" spans="1:8" x14ac:dyDescent="0.2">
      <c r="A182" t="s">
        <v>211</v>
      </c>
      <c r="B182" s="1">
        <v>46195</v>
      </c>
      <c r="C182" t="s">
        <v>33</v>
      </c>
      <c r="D182">
        <v>3</v>
      </c>
      <c r="E182">
        <v>65.77</v>
      </c>
      <c r="F182">
        <v>197.31</v>
      </c>
      <c r="G182" t="s">
        <v>14</v>
      </c>
      <c r="H182" t="s">
        <v>36</v>
      </c>
    </row>
    <row r="183" spans="1:8" x14ac:dyDescent="0.2">
      <c r="A183" t="s">
        <v>212</v>
      </c>
      <c r="B183" s="1">
        <v>46196</v>
      </c>
      <c r="C183" t="s">
        <v>33</v>
      </c>
      <c r="D183">
        <v>1</v>
      </c>
      <c r="E183">
        <v>31.73</v>
      </c>
      <c r="F183">
        <v>31.73</v>
      </c>
      <c r="G183" t="s">
        <v>26</v>
      </c>
      <c r="H183" t="s">
        <v>21</v>
      </c>
    </row>
    <row r="184" spans="1:8" x14ac:dyDescent="0.2">
      <c r="A184" t="s">
        <v>213</v>
      </c>
      <c r="B184" s="1">
        <v>46096</v>
      </c>
      <c r="C184" t="s">
        <v>25</v>
      </c>
      <c r="D184">
        <v>8</v>
      </c>
      <c r="E184">
        <v>99.49</v>
      </c>
      <c r="F184">
        <v>795.92</v>
      </c>
      <c r="G184" t="s">
        <v>10</v>
      </c>
      <c r="H184" t="s">
        <v>11</v>
      </c>
    </row>
    <row r="185" spans="1:8" x14ac:dyDescent="0.2">
      <c r="A185" t="s">
        <v>214</v>
      </c>
      <c r="B185" s="1">
        <v>46189</v>
      </c>
      <c r="C185" t="s">
        <v>44</v>
      </c>
      <c r="D185">
        <v>2</v>
      </c>
      <c r="E185">
        <v>221.17</v>
      </c>
      <c r="F185">
        <v>442.34</v>
      </c>
      <c r="G185" t="s">
        <v>23</v>
      </c>
      <c r="H185" t="s">
        <v>29</v>
      </c>
    </row>
    <row r="186" spans="1:8" x14ac:dyDescent="0.2">
      <c r="A186" t="s">
        <v>215</v>
      </c>
      <c r="B186" s="1">
        <v>46119</v>
      </c>
      <c r="C186" t="s">
        <v>64</v>
      </c>
      <c r="D186">
        <v>2</v>
      </c>
      <c r="E186">
        <v>67.08</v>
      </c>
      <c r="F186">
        <v>134.16</v>
      </c>
      <c r="G186" t="s">
        <v>20</v>
      </c>
      <c r="H186" t="s">
        <v>11</v>
      </c>
    </row>
    <row r="187" spans="1:8" x14ac:dyDescent="0.2">
      <c r="A187" t="s">
        <v>216</v>
      </c>
      <c r="B187" s="1">
        <v>46057</v>
      </c>
      <c r="C187" t="s">
        <v>35</v>
      </c>
      <c r="D187">
        <v>6</v>
      </c>
      <c r="E187">
        <v>33.5</v>
      </c>
      <c r="F187">
        <v>201</v>
      </c>
      <c r="G187" t="s">
        <v>26</v>
      </c>
      <c r="H187" t="s">
        <v>29</v>
      </c>
    </row>
    <row r="188" spans="1:8" x14ac:dyDescent="0.2">
      <c r="A188" t="s">
        <v>217</v>
      </c>
      <c r="B188" s="1">
        <v>46092</v>
      </c>
      <c r="C188" t="s">
        <v>64</v>
      </c>
      <c r="D188">
        <v>5</v>
      </c>
      <c r="E188">
        <v>50.2</v>
      </c>
      <c r="F188">
        <v>251</v>
      </c>
      <c r="G188" t="s">
        <v>26</v>
      </c>
      <c r="H188" t="s">
        <v>40</v>
      </c>
    </row>
    <row r="189" spans="1:8" x14ac:dyDescent="0.2">
      <c r="A189" t="s">
        <v>218</v>
      </c>
      <c r="B189" s="1">
        <v>46101</v>
      </c>
      <c r="C189" t="s">
        <v>13</v>
      </c>
      <c r="D189">
        <v>6</v>
      </c>
      <c r="E189">
        <v>58.2</v>
      </c>
      <c r="F189">
        <v>349.2</v>
      </c>
      <c r="G189" t="s">
        <v>20</v>
      </c>
      <c r="H189" t="s">
        <v>17</v>
      </c>
    </row>
    <row r="190" spans="1:8" x14ac:dyDescent="0.2">
      <c r="A190" t="s">
        <v>219</v>
      </c>
      <c r="B190" s="1">
        <v>46121</v>
      </c>
      <c r="C190" t="s">
        <v>13</v>
      </c>
      <c r="D190">
        <v>8</v>
      </c>
      <c r="E190">
        <v>94.53</v>
      </c>
      <c r="F190">
        <v>756.24</v>
      </c>
      <c r="G190" t="s">
        <v>20</v>
      </c>
      <c r="H190" t="s">
        <v>36</v>
      </c>
    </row>
    <row r="191" spans="1:8" x14ac:dyDescent="0.2">
      <c r="A191" t="s">
        <v>220</v>
      </c>
      <c r="B191" s="1">
        <v>46130</v>
      </c>
      <c r="C191" t="s">
        <v>31</v>
      </c>
      <c r="D191">
        <v>1</v>
      </c>
      <c r="E191">
        <v>95.14</v>
      </c>
      <c r="F191">
        <v>95.14</v>
      </c>
      <c r="G191" t="s">
        <v>26</v>
      </c>
      <c r="H191" t="s">
        <v>17</v>
      </c>
    </row>
    <row r="192" spans="1:8" x14ac:dyDescent="0.2">
      <c r="A192" t="s">
        <v>221</v>
      </c>
      <c r="B192" s="1">
        <v>46156</v>
      </c>
      <c r="C192" t="s">
        <v>39</v>
      </c>
      <c r="D192">
        <v>4</v>
      </c>
      <c r="E192">
        <v>166.53</v>
      </c>
      <c r="F192">
        <v>666.12</v>
      </c>
      <c r="G192" t="s">
        <v>26</v>
      </c>
      <c r="H192" t="s">
        <v>36</v>
      </c>
    </row>
    <row r="193" spans="1:8" x14ac:dyDescent="0.2">
      <c r="A193" t="s">
        <v>222</v>
      </c>
      <c r="B193" s="1">
        <v>46116</v>
      </c>
      <c r="C193" t="s">
        <v>19</v>
      </c>
      <c r="D193">
        <v>7</v>
      </c>
      <c r="E193">
        <v>80.180000000000007</v>
      </c>
      <c r="F193">
        <v>561.26</v>
      </c>
      <c r="G193" t="s">
        <v>14</v>
      </c>
      <c r="H193" t="s">
        <v>21</v>
      </c>
    </row>
    <row r="194" spans="1:8" x14ac:dyDescent="0.2">
      <c r="A194" t="s">
        <v>223</v>
      </c>
      <c r="B194" s="1">
        <v>46084</v>
      </c>
      <c r="C194" t="s">
        <v>25</v>
      </c>
      <c r="D194">
        <v>4</v>
      </c>
      <c r="E194">
        <v>225.85</v>
      </c>
      <c r="F194">
        <v>903.4</v>
      </c>
      <c r="G194" t="s">
        <v>26</v>
      </c>
      <c r="H194" t="s">
        <v>17</v>
      </c>
    </row>
    <row r="195" spans="1:8" x14ac:dyDescent="0.2">
      <c r="A195" t="s">
        <v>224</v>
      </c>
      <c r="B195" s="1">
        <v>46112</v>
      </c>
      <c r="C195" t="s">
        <v>28</v>
      </c>
      <c r="D195">
        <v>4</v>
      </c>
      <c r="E195">
        <v>213.73</v>
      </c>
      <c r="F195">
        <v>854.92</v>
      </c>
      <c r="G195" t="s">
        <v>26</v>
      </c>
      <c r="H195" t="s">
        <v>21</v>
      </c>
    </row>
    <row r="196" spans="1:8" x14ac:dyDescent="0.2">
      <c r="A196" t="s">
        <v>225</v>
      </c>
      <c r="B196" s="1">
        <v>46024</v>
      </c>
      <c r="C196" t="s">
        <v>19</v>
      </c>
      <c r="D196">
        <v>6</v>
      </c>
      <c r="E196">
        <v>235.01</v>
      </c>
      <c r="F196">
        <v>1410.06</v>
      </c>
      <c r="G196" t="s">
        <v>10</v>
      </c>
      <c r="H196" t="s">
        <v>11</v>
      </c>
    </row>
    <row r="197" spans="1:8" x14ac:dyDescent="0.2">
      <c r="A197" t="s">
        <v>226</v>
      </c>
      <c r="B197" s="1">
        <v>46048</v>
      </c>
      <c r="C197" t="s">
        <v>39</v>
      </c>
      <c r="D197">
        <v>4</v>
      </c>
      <c r="E197">
        <v>177.54</v>
      </c>
      <c r="F197">
        <v>710.16</v>
      </c>
      <c r="G197" t="s">
        <v>23</v>
      </c>
      <c r="H197" t="s">
        <v>36</v>
      </c>
    </row>
    <row r="198" spans="1:8" x14ac:dyDescent="0.2">
      <c r="A198" t="s">
        <v>227</v>
      </c>
      <c r="B198" s="1">
        <v>46024</v>
      </c>
      <c r="C198" t="s">
        <v>28</v>
      </c>
      <c r="D198">
        <v>6</v>
      </c>
      <c r="E198">
        <v>210.8</v>
      </c>
      <c r="F198">
        <v>1264.8</v>
      </c>
      <c r="G198" t="s">
        <v>20</v>
      </c>
      <c r="H198" t="s">
        <v>21</v>
      </c>
    </row>
    <row r="199" spans="1:8" x14ac:dyDescent="0.2">
      <c r="A199" t="s">
        <v>228</v>
      </c>
      <c r="B199" s="1">
        <v>46099</v>
      </c>
      <c r="C199" t="s">
        <v>13</v>
      </c>
      <c r="D199">
        <v>1</v>
      </c>
      <c r="E199">
        <v>10.1</v>
      </c>
      <c r="F199">
        <v>10.1</v>
      </c>
      <c r="G199" t="s">
        <v>14</v>
      </c>
      <c r="H199" t="s">
        <v>36</v>
      </c>
    </row>
    <row r="200" spans="1:8" x14ac:dyDescent="0.2">
      <c r="A200" t="s">
        <v>229</v>
      </c>
      <c r="B200" s="1">
        <v>46038</v>
      </c>
      <c r="C200" t="s">
        <v>39</v>
      </c>
      <c r="D200">
        <v>8</v>
      </c>
      <c r="E200">
        <v>192.08</v>
      </c>
      <c r="F200">
        <v>1536.64</v>
      </c>
      <c r="G200" t="s">
        <v>10</v>
      </c>
      <c r="H200" t="s">
        <v>29</v>
      </c>
    </row>
    <row r="201" spans="1:8" x14ac:dyDescent="0.2">
      <c r="A201" t="s">
        <v>230</v>
      </c>
      <c r="B201" s="1">
        <v>46026</v>
      </c>
      <c r="C201" t="s">
        <v>28</v>
      </c>
      <c r="D201">
        <v>6</v>
      </c>
      <c r="E201">
        <v>134.68</v>
      </c>
      <c r="F201">
        <v>808.08</v>
      </c>
      <c r="G201" t="s">
        <v>10</v>
      </c>
      <c r="H201" t="s">
        <v>36</v>
      </c>
    </row>
    <row r="202" spans="1:8" x14ac:dyDescent="0.2">
      <c r="A202" t="s">
        <v>231</v>
      </c>
      <c r="B202" s="1">
        <v>46084</v>
      </c>
      <c r="C202" t="s">
        <v>44</v>
      </c>
      <c r="D202">
        <v>4</v>
      </c>
      <c r="E202">
        <v>24.02</v>
      </c>
      <c r="F202">
        <v>96.08</v>
      </c>
      <c r="G202" t="s">
        <v>23</v>
      </c>
      <c r="H202" t="s">
        <v>40</v>
      </c>
    </row>
    <row r="203" spans="1:8" x14ac:dyDescent="0.2">
      <c r="A203" t="s">
        <v>232</v>
      </c>
      <c r="B203" s="1">
        <v>46178</v>
      </c>
      <c r="C203" t="s">
        <v>33</v>
      </c>
      <c r="D203">
        <v>7</v>
      </c>
      <c r="E203">
        <v>90.5</v>
      </c>
      <c r="F203">
        <v>633.5</v>
      </c>
      <c r="G203" t="s">
        <v>20</v>
      </c>
      <c r="H203" t="s">
        <v>17</v>
      </c>
    </row>
    <row r="204" spans="1:8" x14ac:dyDescent="0.2">
      <c r="A204" t="s">
        <v>233</v>
      </c>
      <c r="B204" s="1">
        <v>46171</v>
      </c>
      <c r="C204" t="s">
        <v>31</v>
      </c>
      <c r="D204">
        <v>4</v>
      </c>
      <c r="E204">
        <v>189.38</v>
      </c>
      <c r="F204">
        <v>757.52</v>
      </c>
      <c r="G204" t="s">
        <v>26</v>
      </c>
      <c r="H204" t="s">
        <v>29</v>
      </c>
    </row>
    <row r="205" spans="1:8" x14ac:dyDescent="0.2">
      <c r="A205" t="s">
        <v>234</v>
      </c>
      <c r="B205" s="1">
        <v>46038</v>
      </c>
      <c r="C205" t="s">
        <v>13</v>
      </c>
      <c r="D205">
        <v>6</v>
      </c>
      <c r="E205">
        <v>102.39</v>
      </c>
      <c r="F205">
        <v>614.34</v>
      </c>
      <c r="G205" t="s">
        <v>23</v>
      </c>
      <c r="H205" t="s">
        <v>36</v>
      </c>
    </row>
    <row r="206" spans="1:8" x14ac:dyDescent="0.2">
      <c r="A206" t="s">
        <v>235</v>
      </c>
      <c r="B206" s="1">
        <v>46139</v>
      </c>
      <c r="C206" t="s">
        <v>31</v>
      </c>
      <c r="D206">
        <v>4</v>
      </c>
      <c r="E206">
        <v>221.55</v>
      </c>
      <c r="F206">
        <v>886.2</v>
      </c>
      <c r="G206" t="s">
        <v>14</v>
      </c>
      <c r="H206" t="s">
        <v>40</v>
      </c>
    </row>
    <row r="207" spans="1:8" x14ac:dyDescent="0.2">
      <c r="A207" t="s">
        <v>236</v>
      </c>
      <c r="B207" s="1">
        <v>46050</v>
      </c>
      <c r="C207" t="s">
        <v>13</v>
      </c>
      <c r="D207">
        <v>7</v>
      </c>
      <c r="E207">
        <v>229.99</v>
      </c>
      <c r="F207">
        <v>1609.93</v>
      </c>
      <c r="G207" t="s">
        <v>14</v>
      </c>
      <c r="H207" t="s">
        <v>29</v>
      </c>
    </row>
    <row r="208" spans="1:8" x14ac:dyDescent="0.2">
      <c r="A208" t="s">
        <v>237</v>
      </c>
      <c r="B208" s="1">
        <v>46142</v>
      </c>
      <c r="C208" t="s">
        <v>44</v>
      </c>
      <c r="D208">
        <v>3</v>
      </c>
      <c r="E208">
        <v>107.72</v>
      </c>
      <c r="F208">
        <v>323.16000000000003</v>
      </c>
      <c r="G208" t="s">
        <v>10</v>
      </c>
      <c r="H208" t="s">
        <v>36</v>
      </c>
    </row>
    <row r="209" spans="1:8" x14ac:dyDescent="0.2">
      <c r="A209" t="s">
        <v>238</v>
      </c>
      <c r="B209" s="1">
        <v>46051</v>
      </c>
      <c r="C209" t="s">
        <v>64</v>
      </c>
      <c r="D209">
        <v>3</v>
      </c>
      <c r="E209">
        <v>25.74</v>
      </c>
      <c r="F209">
        <v>77.22</v>
      </c>
      <c r="G209" t="s">
        <v>20</v>
      </c>
      <c r="H209" t="s">
        <v>11</v>
      </c>
    </row>
    <row r="210" spans="1:8" x14ac:dyDescent="0.2">
      <c r="A210" t="s">
        <v>239</v>
      </c>
      <c r="B210" s="1">
        <v>46120</v>
      </c>
      <c r="C210" t="s">
        <v>35</v>
      </c>
      <c r="D210">
        <v>3</v>
      </c>
      <c r="E210">
        <v>165.15</v>
      </c>
      <c r="F210">
        <v>495.45</v>
      </c>
      <c r="G210" t="s">
        <v>20</v>
      </c>
      <c r="H210" t="s">
        <v>11</v>
      </c>
    </row>
    <row r="211" spans="1:8" x14ac:dyDescent="0.2">
      <c r="A211" t="s">
        <v>240</v>
      </c>
      <c r="B211" s="1">
        <v>46053</v>
      </c>
      <c r="C211" t="s">
        <v>16</v>
      </c>
      <c r="D211">
        <v>4</v>
      </c>
      <c r="E211">
        <v>192.3</v>
      </c>
      <c r="F211">
        <v>769.2</v>
      </c>
      <c r="G211" t="s">
        <v>20</v>
      </c>
      <c r="H211" t="s">
        <v>36</v>
      </c>
    </row>
    <row r="212" spans="1:8" x14ac:dyDescent="0.2">
      <c r="A212" t="s">
        <v>241</v>
      </c>
      <c r="B212" s="1">
        <v>46156</v>
      </c>
      <c r="C212" t="s">
        <v>25</v>
      </c>
      <c r="D212">
        <v>8</v>
      </c>
      <c r="E212">
        <v>222.49</v>
      </c>
      <c r="F212">
        <v>1779.92</v>
      </c>
      <c r="G212" t="s">
        <v>23</v>
      </c>
      <c r="H212" t="s">
        <v>40</v>
      </c>
    </row>
    <row r="213" spans="1:8" x14ac:dyDescent="0.2">
      <c r="A213" t="s">
        <v>242</v>
      </c>
      <c r="B213" s="1">
        <v>46193</v>
      </c>
      <c r="C213" t="s">
        <v>16</v>
      </c>
      <c r="D213">
        <v>4</v>
      </c>
      <c r="E213">
        <v>176.62</v>
      </c>
      <c r="F213">
        <v>706.48</v>
      </c>
      <c r="G213" t="s">
        <v>14</v>
      </c>
      <c r="H213" t="s">
        <v>17</v>
      </c>
    </row>
    <row r="214" spans="1:8" x14ac:dyDescent="0.2">
      <c r="A214" t="s">
        <v>243</v>
      </c>
      <c r="B214" s="1">
        <v>46104</v>
      </c>
      <c r="C214" t="s">
        <v>64</v>
      </c>
      <c r="D214">
        <v>4</v>
      </c>
      <c r="E214">
        <v>19.88</v>
      </c>
      <c r="F214">
        <v>79.52</v>
      </c>
      <c r="G214" t="s">
        <v>20</v>
      </c>
      <c r="H214" t="s">
        <v>11</v>
      </c>
    </row>
    <row r="215" spans="1:8" x14ac:dyDescent="0.2">
      <c r="A215" t="s">
        <v>244</v>
      </c>
      <c r="B215" s="1">
        <v>46032</v>
      </c>
      <c r="C215" t="s">
        <v>39</v>
      </c>
      <c r="D215">
        <v>6</v>
      </c>
      <c r="E215">
        <v>80.459999999999994</v>
      </c>
      <c r="F215">
        <v>482.76</v>
      </c>
      <c r="G215" t="s">
        <v>20</v>
      </c>
      <c r="H215" t="s">
        <v>21</v>
      </c>
    </row>
    <row r="216" spans="1:8" x14ac:dyDescent="0.2">
      <c r="A216" t="s">
        <v>245</v>
      </c>
      <c r="B216" s="1">
        <v>46122</v>
      </c>
      <c r="C216" t="s">
        <v>19</v>
      </c>
      <c r="D216">
        <v>8</v>
      </c>
      <c r="E216">
        <v>59.83</v>
      </c>
      <c r="F216">
        <v>478.64</v>
      </c>
      <c r="G216" t="s">
        <v>10</v>
      </c>
      <c r="H216" t="s">
        <v>29</v>
      </c>
    </row>
    <row r="217" spans="1:8" x14ac:dyDescent="0.2">
      <c r="A217" t="s">
        <v>246</v>
      </c>
      <c r="B217" s="1">
        <v>46141</v>
      </c>
      <c r="C217" t="s">
        <v>33</v>
      </c>
      <c r="D217">
        <v>6</v>
      </c>
      <c r="E217">
        <v>247.09</v>
      </c>
      <c r="F217">
        <v>1482.54</v>
      </c>
      <c r="G217" t="s">
        <v>23</v>
      </c>
      <c r="H217" t="s">
        <v>29</v>
      </c>
    </row>
    <row r="218" spans="1:8" x14ac:dyDescent="0.2">
      <c r="A218" t="s">
        <v>247</v>
      </c>
      <c r="B218" s="1">
        <v>46055</v>
      </c>
      <c r="C218" t="s">
        <v>33</v>
      </c>
      <c r="D218">
        <v>8</v>
      </c>
      <c r="E218">
        <v>75.78</v>
      </c>
      <c r="F218">
        <v>606.24</v>
      </c>
      <c r="G218" t="s">
        <v>10</v>
      </c>
      <c r="H218" t="s">
        <v>29</v>
      </c>
    </row>
    <row r="219" spans="1:8" x14ac:dyDescent="0.2">
      <c r="A219" t="s">
        <v>248</v>
      </c>
      <c r="B219" s="1">
        <v>46125</v>
      </c>
      <c r="C219" t="s">
        <v>13</v>
      </c>
      <c r="D219">
        <v>8</v>
      </c>
      <c r="E219">
        <v>84.2</v>
      </c>
      <c r="F219">
        <v>673.6</v>
      </c>
      <c r="G219" t="s">
        <v>14</v>
      </c>
      <c r="H219" t="s">
        <v>40</v>
      </c>
    </row>
    <row r="220" spans="1:8" x14ac:dyDescent="0.2">
      <c r="A220" t="s">
        <v>249</v>
      </c>
      <c r="B220" s="1">
        <v>46194</v>
      </c>
      <c r="C220" t="s">
        <v>31</v>
      </c>
      <c r="D220">
        <v>6</v>
      </c>
      <c r="E220">
        <v>176.53</v>
      </c>
      <c r="F220">
        <v>1059.18</v>
      </c>
      <c r="G220" t="s">
        <v>20</v>
      </c>
      <c r="H220" t="s">
        <v>17</v>
      </c>
    </row>
    <row r="221" spans="1:8" x14ac:dyDescent="0.2">
      <c r="A221" t="s">
        <v>250</v>
      </c>
      <c r="B221" s="1">
        <v>46137</v>
      </c>
      <c r="C221" t="s">
        <v>28</v>
      </c>
      <c r="D221">
        <v>1</v>
      </c>
      <c r="E221">
        <v>41.52</v>
      </c>
      <c r="F221">
        <v>41.52</v>
      </c>
      <c r="G221" t="s">
        <v>23</v>
      </c>
      <c r="H221" t="s">
        <v>17</v>
      </c>
    </row>
    <row r="222" spans="1:8" x14ac:dyDescent="0.2">
      <c r="A222" t="s">
        <v>251</v>
      </c>
      <c r="B222" s="1">
        <v>46192</v>
      </c>
      <c r="C222" t="s">
        <v>9</v>
      </c>
      <c r="D222">
        <v>8</v>
      </c>
      <c r="E222">
        <v>170.93</v>
      </c>
      <c r="F222">
        <v>1367.44</v>
      </c>
      <c r="G222" t="s">
        <v>14</v>
      </c>
      <c r="H222" t="s">
        <v>36</v>
      </c>
    </row>
    <row r="223" spans="1:8" x14ac:dyDescent="0.2">
      <c r="A223" t="s">
        <v>252</v>
      </c>
      <c r="B223" s="1">
        <v>46046</v>
      </c>
      <c r="C223" t="s">
        <v>16</v>
      </c>
      <c r="D223">
        <v>6</v>
      </c>
      <c r="E223">
        <v>95.04</v>
      </c>
      <c r="F223">
        <v>570.24</v>
      </c>
      <c r="G223" t="s">
        <v>26</v>
      </c>
      <c r="H223" t="s">
        <v>36</v>
      </c>
    </row>
    <row r="224" spans="1:8" x14ac:dyDescent="0.2">
      <c r="A224" t="s">
        <v>253</v>
      </c>
      <c r="B224" s="1">
        <v>46197</v>
      </c>
      <c r="C224" t="s">
        <v>44</v>
      </c>
      <c r="D224">
        <v>5</v>
      </c>
      <c r="E224">
        <v>69.34</v>
      </c>
      <c r="F224">
        <v>346.7</v>
      </c>
      <c r="G224" t="s">
        <v>23</v>
      </c>
      <c r="H224" t="s">
        <v>21</v>
      </c>
    </row>
    <row r="225" spans="1:8" x14ac:dyDescent="0.2">
      <c r="A225" t="s">
        <v>254</v>
      </c>
      <c r="B225" s="1">
        <v>46141</v>
      </c>
      <c r="C225" t="s">
        <v>31</v>
      </c>
      <c r="D225">
        <v>6</v>
      </c>
      <c r="E225">
        <v>84.34</v>
      </c>
      <c r="F225">
        <v>506.04</v>
      </c>
      <c r="G225" t="s">
        <v>10</v>
      </c>
      <c r="H225" t="s">
        <v>29</v>
      </c>
    </row>
    <row r="226" spans="1:8" x14ac:dyDescent="0.2">
      <c r="A226" t="s">
        <v>255</v>
      </c>
      <c r="B226" s="1">
        <v>46083</v>
      </c>
      <c r="C226" t="s">
        <v>19</v>
      </c>
      <c r="D226">
        <v>7</v>
      </c>
      <c r="E226">
        <v>229.31</v>
      </c>
      <c r="F226">
        <v>1605.17</v>
      </c>
      <c r="G226" t="s">
        <v>20</v>
      </c>
      <c r="H226" t="s">
        <v>17</v>
      </c>
    </row>
    <row r="227" spans="1:8" x14ac:dyDescent="0.2">
      <c r="A227" t="s">
        <v>256</v>
      </c>
      <c r="B227" s="1">
        <v>46068</v>
      </c>
      <c r="C227" t="s">
        <v>16</v>
      </c>
      <c r="D227">
        <v>6</v>
      </c>
      <c r="E227">
        <v>94.56</v>
      </c>
      <c r="F227">
        <v>567.36</v>
      </c>
      <c r="G227" t="s">
        <v>14</v>
      </c>
      <c r="H227" t="s">
        <v>29</v>
      </c>
    </row>
    <row r="228" spans="1:8" x14ac:dyDescent="0.2">
      <c r="A228" t="s">
        <v>257</v>
      </c>
      <c r="B228" s="1">
        <v>46102</v>
      </c>
      <c r="C228" t="s">
        <v>64</v>
      </c>
      <c r="D228">
        <v>2</v>
      </c>
      <c r="E228">
        <v>69.33</v>
      </c>
      <c r="F228">
        <v>138.66</v>
      </c>
      <c r="G228" t="s">
        <v>26</v>
      </c>
      <c r="H228" t="s">
        <v>29</v>
      </c>
    </row>
    <row r="229" spans="1:8" x14ac:dyDescent="0.2">
      <c r="A229" t="s">
        <v>258</v>
      </c>
      <c r="B229" s="1">
        <v>46119</v>
      </c>
      <c r="C229" t="s">
        <v>64</v>
      </c>
      <c r="D229">
        <v>5</v>
      </c>
      <c r="E229">
        <v>188.12</v>
      </c>
      <c r="F229">
        <v>940.6</v>
      </c>
      <c r="G229" t="s">
        <v>23</v>
      </c>
      <c r="H229" t="s">
        <v>36</v>
      </c>
    </row>
    <row r="230" spans="1:8" x14ac:dyDescent="0.2">
      <c r="A230" t="s">
        <v>259</v>
      </c>
      <c r="B230" s="1">
        <v>46201</v>
      </c>
      <c r="C230" t="s">
        <v>35</v>
      </c>
      <c r="D230">
        <v>1</v>
      </c>
      <c r="E230">
        <v>246.25</v>
      </c>
      <c r="F230">
        <v>246.25</v>
      </c>
      <c r="G230" t="s">
        <v>23</v>
      </c>
      <c r="H230" t="s">
        <v>36</v>
      </c>
    </row>
    <row r="231" spans="1:8" x14ac:dyDescent="0.2">
      <c r="A231" t="s">
        <v>260</v>
      </c>
      <c r="B231" s="1">
        <v>46167</v>
      </c>
      <c r="C231" t="s">
        <v>19</v>
      </c>
      <c r="D231">
        <v>3</v>
      </c>
      <c r="E231">
        <v>112.88</v>
      </c>
      <c r="F231">
        <v>338.64</v>
      </c>
      <c r="G231" t="s">
        <v>10</v>
      </c>
      <c r="H231" t="s">
        <v>36</v>
      </c>
    </row>
    <row r="232" spans="1:8" x14ac:dyDescent="0.2">
      <c r="A232" t="s">
        <v>261</v>
      </c>
      <c r="B232" s="1">
        <v>46187</v>
      </c>
      <c r="C232" t="s">
        <v>25</v>
      </c>
      <c r="D232">
        <v>1</v>
      </c>
      <c r="E232">
        <v>231.32</v>
      </c>
      <c r="F232">
        <v>231.32</v>
      </c>
      <c r="G232" t="s">
        <v>10</v>
      </c>
      <c r="H232" t="s">
        <v>17</v>
      </c>
    </row>
    <row r="233" spans="1:8" x14ac:dyDescent="0.2">
      <c r="A233" t="s">
        <v>262</v>
      </c>
      <c r="B233" s="1">
        <v>46191</v>
      </c>
      <c r="C233" t="s">
        <v>16</v>
      </c>
      <c r="D233">
        <v>6</v>
      </c>
      <c r="E233">
        <v>22.2</v>
      </c>
      <c r="F233">
        <v>133.19999999999999</v>
      </c>
      <c r="G233" t="s">
        <v>14</v>
      </c>
      <c r="H233" t="s">
        <v>29</v>
      </c>
    </row>
    <row r="234" spans="1:8" x14ac:dyDescent="0.2">
      <c r="A234" t="s">
        <v>263</v>
      </c>
      <c r="B234" s="1">
        <v>46193</v>
      </c>
      <c r="C234" t="s">
        <v>44</v>
      </c>
      <c r="D234">
        <v>1</v>
      </c>
      <c r="E234">
        <v>183.55</v>
      </c>
      <c r="F234">
        <v>183.55</v>
      </c>
      <c r="G234" t="s">
        <v>26</v>
      </c>
      <c r="H234" t="s">
        <v>21</v>
      </c>
    </row>
    <row r="235" spans="1:8" x14ac:dyDescent="0.2">
      <c r="A235" t="s">
        <v>264</v>
      </c>
      <c r="B235" s="1">
        <v>46104</v>
      </c>
      <c r="C235" t="s">
        <v>35</v>
      </c>
      <c r="D235">
        <v>3</v>
      </c>
      <c r="E235">
        <v>108.9</v>
      </c>
      <c r="F235">
        <v>326.7</v>
      </c>
      <c r="G235" t="s">
        <v>23</v>
      </c>
      <c r="H235" t="s">
        <v>11</v>
      </c>
    </row>
    <row r="236" spans="1:8" x14ac:dyDescent="0.2">
      <c r="A236" t="s">
        <v>265</v>
      </c>
      <c r="B236" s="1">
        <v>46057</v>
      </c>
      <c r="C236" t="s">
        <v>44</v>
      </c>
      <c r="D236">
        <v>3</v>
      </c>
      <c r="E236">
        <v>51.62</v>
      </c>
      <c r="F236">
        <v>154.86000000000001</v>
      </c>
      <c r="G236" t="s">
        <v>10</v>
      </c>
      <c r="H236" t="s">
        <v>17</v>
      </c>
    </row>
    <row r="237" spans="1:8" x14ac:dyDescent="0.2">
      <c r="A237" t="s">
        <v>266</v>
      </c>
      <c r="B237" s="1">
        <v>46029</v>
      </c>
      <c r="C237" t="s">
        <v>35</v>
      </c>
      <c r="D237">
        <v>2</v>
      </c>
      <c r="E237">
        <v>115.03</v>
      </c>
      <c r="F237">
        <v>230.06</v>
      </c>
      <c r="G237" t="s">
        <v>26</v>
      </c>
      <c r="H237" t="s">
        <v>40</v>
      </c>
    </row>
    <row r="238" spans="1:8" x14ac:dyDescent="0.2">
      <c r="A238" t="s">
        <v>267</v>
      </c>
      <c r="B238" s="1">
        <v>46191</v>
      </c>
      <c r="C238" t="s">
        <v>28</v>
      </c>
      <c r="D238">
        <v>8</v>
      </c>
      <c r="E238">
        <v>208.4</v>
      </c>
      <c r="F238">
        <v>1667.2</v>
      </c>
      <c r="G238" t="s">
        <v>10</v>
      </c>
      <c r="H238" t="s">
        <v>11</v>
      </c>
    </row>
    <row r="239" spans="1:8" x14ac:dyDescent="0.2">
      <c r="A239" t="s">
        <v>268</v>
      </c>
      <c r="B239" s="1">
        <v>46167</v>
      </c>
      <c r="C239" t="s">
        <v>39</v>
      </c>
      <c r="D239">
        <v>2</v>
      </c>
      <c r="E239">
        <v>137.09</v>
      </c>
      <c r="F239">
        <v>274.18</v>
      </c>
      <c r="G239" t="s">
        <v>20</v>
      </c>
      <c r="H239" t="s">
        <v>29</v>
      </c>
    </row>
    <row r="240" spans="1:8" x14ac:dyDescent="0.2">
      <c r="A240" t="s">
        <v>269</v>
      </c>
      <c r="B240" s="1">
        <v>46157</v>
      </c>
      <c r="C240" t="s">
        <v>25</v>
      </c>
      <c r="D240">
        <v>6</v>
      </c>
      <c r="E240">
        <v>163.43</v>
      </c>
      <c r="F240">
        <v>980.58</v>
      </c>
      <c r="G240" t="s">
        <v>14</v>
      </c>
      <c r="H240" t="s">
        <v>21</v>
      </c>
    </row>
    <row r="241" spans="1:8" x14ac:dyDescent="0.2">
      <c r="A241" t="s">
        <v>270</v>
      </c>
      <c r="B241" s="1">
        <v>46116</v>
      </c>
      <c r="C241" t="s">
        <v>19</v>
      </c>
      <c r="D241">
        <v>6</v>
      </c>
      <c r="E241">
        <v>160.47</v>
      </c>
      <c r="F241">
        <v>962.82</v>
      </c>
      <c r="G241" t="s">
        <v>23</v>
      </c>
      <c r="H24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638E-A75B-0344-95F5-22873475094C}">
  <dimension ref="A1:N191"/>
  <sheetViews>
    <sheetView tabSelected="1" topLeftCell="B41" zoomScaleNormal="60" zoomScaleSheetLayoutView="100" workbookViewId="0">
      <selection activeCell="E70" sqref="E70"/>
    </sheetView>
  </sheetViews>
  <sheetFormatPr defaultRowHeight="15" x14ac:dyDescent="0.2"/>
  <cols>
    <col min="1" max="7" width="12.77734375" bestFit="1" customWidth="1"/>
    <col min="12" max="12" width="8.7421875" bestFit="1" customWidth="1"/>
    <col min="22" max="22" width="9.01171875" bestFit="1" customWidth="1"/>
  </cols>
  <sheetData>
    <row r="1" spans="1:10" x14ac:dyDescent="0.2">
      <c r="A1" s="15" t="s">
        <v>271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15"/>
      <c r="B3" s="15"/>
      <c r="C3" s="15"/>
      <c r="D3" s="15"/>
      <c r="E3" s="15"/>
      <c r="F3" s="15"/>
      <c r="G3" s="15"/>
      <c r="H3" s="15"/>
      <c r="I3" s="15"/>
      <c r="J3" s="15"/>
    </row>
    <row r="5" spans="1:10" x14ac:dyDescent="0.2">
      <c r="A5" cm="1">
        <f t="array" ref="A5:A16">_xlfn.SEQUENCE(12,1,1,1)</f>
        <v>1</v>
      </c>
      <c r="B5" t="s">
        <v>272</v>
      </c>
      <c r="D5" t="s">
        <v>273</v>
      </c>
    </row>
    <row r="6" spans="1:10" x14ac:dyDescent="0.2">
      <c r="A6">
        <v>2</v>
      </c>
      <c r="B6" t="s">
        <v>274</v>
      </c>
      <c r="D6" t="s">
        <v>273</v>
      </c>
    </row>
    <row r="7" spans="1:10" x14ac:dyDescent="0.2">
      <c r="A7">
        <v>3</v>
      </c>
      <c r="B7" t="s">
        <v>275</v>
      </c>
      <c r="D7" t="s">
        <v>273</v>
      </c>
    </row>
    <row r="8" spans="1:10" x14ac:dyDescent="0.2">
      <c r="A8">
        <v>4</v>
      </c>
      <c r="B8" t="s">
        <v>276</v>
      </c>
      <c r="D8" t="s">
        <v>273</v>
      </c>
    </row>
    <row r="9" spans="1:10" x14ac:dyDescent="0.2">
      <c r="A9">
        <v>5</v>
      </c>
      <c r="B9" t="s">
        <v>277</v>
      </c>
      <c r="D9" t="s">
        <v>273</v>
      </c>
    </row>
    <row r="10" spans="1:10" x14ac:dyDescent="0.2">
      <c r="A10">
        <v>6</v>
      </c>
      <c r="B10" t="s">
        <v>278</v>
      </c>
      <c r="D10" t="s">
        <v>273</v>
      </c>
    </row>
    <row r="11" spans="1:10" x14ac:dyDescent="0.2">
      <c r="A11">
        <v>7</v>
      </c>
      <c r="B11" t="s">
        <v>279</v>
      </c>
      <c r="D11" t="s">
        <v>273</v>
      </c>
    </row>
    <row r="12" spans="1:10" x14ac:dyDescent="0.2">
      <c r="A12">
        <v>8</v>
      </c>
      <c r="B12" t="s">
        <v>280</v>
      </c>
      <c r="D12" t="s">
        <v>273</v>
      </c>
    </row>
    <row r="13" spans="1:10" x14ac:dyDescent="0.2">
      <c r="A13">
        <v>9</v>
      </c>
      <c r="B13" t="s">
        <v>281</v>
      </c>
      <c r="D13" t="s">
        <v>273</v>
      </c>
    </row>
    <row r="14" spans="1:10" x14ac:dyDescent="0.2">
      <c r="A14">
        <v>10</v>
      </c>
      <c r="B14" t="s">
        <v>282</v>
      </c>
      <c r="D14" t="s">
        <v>273</v>
      </c>
    </row>
    <row r="15" spans="1:10" x14ac:dyDescent="0.2">
      <c r="A15">
        <v>11</v>
      </c>
      <c r="B15" t="s">
        <v>283</v>
      </c>
      <c r="D15" t="s">
        <v>273</v>
      </c>
    </row>
    <row r="16" spans="1:10" x14ac:dyDescent="0.2">
      <c r="A16">
        <v>12</v>
      </c>
      <c r="B16" t="s">
        <v>284</v>
      </c>
      <c r="D16" t="s">
        <v>273</v>
      </c>
    </row>
    <row r="18" spans="1:5" x14ac:dyDescent="0.2">
      <c r="B18" s="16" t="s">
        <v>287</v>
      </c>
      <c r="C18" s="16"/>
      <c r="D18" s="16"/>
      <c r="E18" s="16"/>
    </row>
    <row r="19" spans="1:5" x14ac:dyDescent="0.2">
      <c r="B19" s="16"/>
      <c r="C19" s="16"/>
      <c r="D19" s="16"/>
      <c r="E19" s="16"/>
    </row>
    <row r="20" spans="1:5" x14ac:dyDescent="0.2">
      <c r="A20" cm="1">
        <f t="array" ref="A20:A23">_xlfn.SEQUENCE(4,1,1,1)</f>
        <v>1</v>
      </c>
      <c r="B20" s="14" t="s">
        <v>288</v>
      </c>
      <c r="C20" s="14"/>
      <c r="D20" s="14"/>
      <c r="E20" s="3">
        <f>SUM('cleaned data '!F2:F241)</f>
        <v>142437.14000000001</v>
      </c>
    </row>
    <row r="21" spans="1:5" x14ac:dyDescent="0.2">
      <c r="A21">
        <v>2</v>
      </c>
      <c r="B21" s="14" t="s">
        <v>289</v>
      </c>
      <c r="C21" s="14"/>
      <c r="D21" s="14"/>
      <c r="E21">
        <f>SUM('cleaned data '!D2:D241)</f>
        <v>1108</v>
      </c>
    </row>
    <row r="22" spans="1:5" x14ac:dyDescent="0.2">
      <c r="A22">
        <v>3</v>
      </c>
      <c r="B22" t="s">
        <v>290</v>
      </c>
      <c r="E22">
        <f>AVERAGE('cleaned data '!F2:F241)</f>
        <v>593.48808333333341</v>
      </c>
    </row>
    <row r="23" spans="1:5" x14ac:dyDescent="0.2">
      <c r="A23">
        <v>4</v>
      </c>
      <c r="B23" s="14" t="s">
        <v>291</v>
      </c>
      <c r="C23" s="14"/>
      <c r="D23" s="14"/>
    </row>
    <row r="24" spans="1:5" x14ac:dyDescent="0.2">
      <c r="B24" s="2" cm="1">
        <f t="array" ref="B24:B35">_xlfn.SEQUENCE(12,1,1,1)</f>
        <v>1</v>
      </c>
      <c r="C24" s="3" t="str" cm="1">
        <f t="array" ref="C24:C35">_xlfn.UNIQUE('cleaned data '!C2:C241)</f>
        <v>Mechanical Keyboard</v>
      </c>
      <c r="D24" s="5"/>
      <c r="E24">
        <f>SUMIF('cleaned data '!C2:C241,C24,'cleaned data '!F2:F241)</f>
        <v>9513.33</v>
      </c>
    </row>
    <row r="25" spans="1:5" x14ac:dyDescent="0.2">
      <c r="B25" s="2">
        <v>2</v>
      </c>
      <c r="C25" s="3" t="str">
        <v>USB-C Hub</v>
      </c>
      <c r="D25" s="5"/>
      <c r="E25">
        <f>SUMIF('cleaned data '!C3:C242,C25,'cleaned data '!F3:F242)</f>
        <v>8082.1000000000013</v>
      </c>
    </row>
    <row r="26" spans="1:5" x14ac:dyDescent="0.2">
      <c r="B26" s="2">
        <v>3</v>
      </c>
      <c r="C26" s="3" t="str">
        <v>Standing Desk</v>
      </c>
      <c r="D26" s="5"/>
      <c r="E26">
        <f>SUMIF('cleaned data '!C4:C243,C26,'cleaned data '!F4:F243)</f>
        <v>6526.5499999999993</v>
      </c>
    </row>
    <row r="27" spans="1:5" x14ac:dyDescent="0.2">
      <c r="B27" s="2">
        <v>4</v>
      </c>
      <c r="C27" s="3" t="str">
        <v>Webcam 1080p</v>
      </c>
      <c r="D27" s="5"/>
      <c r="E27">
        <f>SUMIF('cleaned data '!C5:C244,C27,'cleaned data '!F5:F244)</f>
        <v>16809.84</v>
      </c>
    </row>
    <row r="28" spans="1:5" x14ac:dyDescent="0.2">
      <c r="B28" s="2">
        <v>5</v>
      </c>
      <c r="C28" s="3" t="str">
        <v>Desk Lamp</v>
      </c>
      <c r="D28" s="5"/>
      <c r="E28">
        <f>SUMIF('cleaned data '!C6:C245,C28,'cleaned data '!F6:F245)</f>
        <v>10445.799999999999</v>
      </c>
    </row>
    <row r="29" spans="1:5" x14ac:dyDescent="0.2">
      <c r="B29" s="2">
        <v>6</v>
      </c>
      <c r="C29" s="3" t="str">
        <v>Cable Organizer</v>
      </c>
      <c r="D29" s="5"/>
      <c r="E29">
        <f>SUMIF('cleaned data '!C7:C246,C29,'cleaned data '!F7:F246)</f>
        <v>16142.37</v>
      </c>
    </row>
    <row r="30" spans="1:5" x14ac:dyDescent="0.2">
      <c r="B30" s="2">
        <v>7</v>
      </c>
      <c r="C30" s="3" t="str">
        <v>Noise-Cancelling Headphones</v>
      </c>
      <c r="D30" s="5"/>
      <c r="E30">
        <f>SUMIF('cleaned data '!C8:C247,C30,'cleaned data '!F8:F247)</f>
        <v>10674.320000000002</v>
      </c>
    </row>
    <row r="31" spans="1:5" x14ac:dyDescent="0.2">
      <c r="B31" s="2">
        <v>8</v>
      </c>
      <c r="C31" s="3" t="str">
        <v>Laptop Stand</v>
      </c>
      <c r="D31" s="5"/>
      <c r="E31">
        <f>SUMIF('cleaned data '!C9:C248,C31,'cleaned data '!F9:F248)</f>
        <v>18713.899999999998</v>
      </c>
    </row>
    <row r="32" spans="1:5" x14ac:dyDescent="0.2">
      <c r="B32" s="2">
        <v>9</v>
      </c>
      <c r="C32" s="3" t="str">
        <v>Ergonomic Chair</v>
      </c>
      <c r="D32" s="5"/>
      <c r="E32">
        <f>SUMIF('cleaned data '!C10:C249,C32,'cleaned data '!F10:F249)</f>
        <v>10624.930000000002</v>
      </c>
    </row>
    <row r="33" spans="1:6" x14ac:dyDescent="0.2">
      <c r="B33" s="2">
        <v>10</v>
      </c>
      <c r="C33" s="3" t="str">
        <v>Wireless Mouse</v>
      </c>
      <c r="D33" s="5"/>
      <c r="E33">
        <f>SUMIF('cleaned data '!C11:C250,C33,'cleaned data '!F11:F250)</f>
        <v>14290.77</v>
      </c>
    </row>
    <row r="34" spans="1:6" x14ac:dyDescent="0.2">
      <c r="B34" s="2">
        <v>11</v>
      </c>
      <c r="C34" s="3" t="str">
        <v>External SSD 1TB</v>
      </c>
      <c r="D34" s="5"/>
      <c r="E34">
        <f>SUMIF('cleaned data '!C12:C251,C34,'cleaned data '!F12:F251)</f>
        <v>12103.9</v>
      </c>
    </row>
    <row r="35" spans="1:6" x14ac:dyDescent="0.2">
      <c r="B35" s="2">
        <v>12</v>
      </c>
      <c r="C35" s="3" t="str">
        <v>27-inch Monitor</v>
      </c>
      <c r="D35" s="5"/>
      <c r="E35">
        <f>SUMIF('cleaned data '!C13:C252,C35,'cleaned data '!F13:F252)</f>
        <v>8509.33</v>
      </c>
    </row>
    <row r="37" spans="1:6" x14ac:dyDescent="0.2">
      <c r="C37" s="4" t="s">
        <v>310</v>
      </c>
      <c r="D37" s="4"/>
      <c r="E37" t="s">
        <v>292</v>
      </c>
      <c r="F37">
        <f>MAX(E24:E35)</f>
        <v>18713.899999999998</v>
      </c>
    </row>
    <row r="38" spans="1:6" x14ac:dyDescent="0.2">
      <c r="C38" t="s">
        <v>311</v>
      </c>
      <c r="E38" t="s">
        <v>16</v>
      </c>
      <c r="F38">
        <f>MIN(E24:E35)</f>
        <v>6526.5499999999993</v>
      </c>
    </row>
    <row r="39" spans="1:6" x14ac:dyDescent="0.2">
      <c r="A39">
        <v>5</v>
      </c>
      <c r="B39" t="s">
        <v>293</v>
      </c>
    </row>
    <row r="40" spans="1:6" x14ac:dyDescent="0.2">
      <c r="B40" cm="1">
        <f t="array" ref="B40:B44">_xlfn.SEQUENCE(5)</f>
        <v>1</v>
      </c>
      <c r="C40" t="str" cm="1">
        <f t="array" ref="C40:C44">_xlfn.UNIQUE('cleaned data '!G2:G241)</f>
        <v>North</v>
      </c>
      <c r="D40">
        <f>SUMIF('cleaned data '!G2:G241,C40,'cleaned data '!F2:F241)</f>
        <v>28925</v>
      </c>
    </row>
    <row r="41" spans="1:6" x14ac:dyDescent="0.2">
      <c r="B41">
        <v>2</v>
      </c>
      <c r="C41" t="str">
        <v>South</v>
      </c>
      <c r="D41">
        <f>SUMIF('cleaned data '!G3:G242,C41,'cleaned data '!F3:F242)</f>
        <v>30083.510000000002</v>
      </c>
    </row>
    <row r="42" spans="1:6" x14ac:dyDescent="0.2">
      <c r="B42">
        <v>3</v>
      </c>
      <c r="C42" t="str">
        <v>East</v>
      </c>
      <c r="D42">
        <f>SUMIF('cleaned data '!G4:G243,C42,'cleaned data '!F4:F243)</f>
        <v>26485.820000000007</v>
      </c>
    </row>
    <row r="43" spans="1:6" x14ac:dyDescent="0.2">
      <c r="B43">
        <v>4</v>
      </c>
      <c r="C43" t="str">
        <v>Central</v>
      </c>
      <c r="D43">
        <f>SUMIF('cleaned data '!G5:G244,C43,'cleaned data '!F5:F244)</f>
        <v>30787.940000000013</v>
      </c>
    </row>
    <row r="44" spans="1:6" x14ac:dyDescent="0.2">
      <c r="B44">
        <v>5</v>
      </c>
      <c r="C44" t="str">
        <v>West</v>
      </c>
      <c r="D44">
        <f>SUMIF('cleaned data '!G6:G245,C44,'cleaned data '!F6:F245)</f>
        <v>26154.87</v>
      </c>
    </row>
    <row r="46" spans="1:6" x14ac:dyDescent="0.2">
      <c r="A46">
        <v>6</v>
      </c>
      <c r="B46" t="s">
        <v>294</v>
      </c>
    </row>
    <row r="47" spans="1:6" x14ac:dyDescent="0.2">
      <c r="B47" cm="1">
        <f t="array" ref="B47:B58">_xlfn.SEQUENCE(12,1,1,1)</f>
        <v>1</v>
      </c>
      <c r="C47" t="s">
        <v>306</v>
      </c>
      <c r="E47" cm="1">
        <f t="array" ref="E47">SUMPRODUCT((MONTH('cleaned data '!B2:B241)=ROW()-46)*'cleaned data '!F2:F241)</f>
        <v>24177.450000000004</v>
      </c>
    </row>
    <row r="48" spans="1:6" x14ac:dyDescent="0.2">
      <c r="B48">
        <v>2</v>
      </c>
      <c r="C48" t="s">
        <v>305</v>
      </c>
      <c r="E48" cm="1">
        <f t="array" ref="E48">SUMPRODUCT((MONTH('cleaned data '!B3:B242)=ROW()-46)*'cleaned data '!F3:F242)</f>
        <v>13788.89</v>
      </c>
    </row>
    <row r="49" spans="1:6" x14ac:dyDescent="0.2">
      <c r="B49">
        <v>3</v>
      </c>
      <c r="C49" t="s">
        <v>295</v>
      </c>
      <c r="E49" cm="1">
        <f t="array" ref="E49">SUMPRODUCT((MONTH('cleaned data '!B4:B243)=ROW()-46)*'cleaned data '!F4:F243)</f>
        <v>19390.28</v>
      </c>
    </row>
    <row r="50" spans="1:6" x14ac:dyDescent="0.2">
      <c r="B50">
        <v>4</v>
      </c>
      <c r="C50" t="s">
        <v>296</v>
      </c>
      <c r="E50" cm="1">
        <f t="array" ref="E50">SUMPRODUCT((MONTH('cleaned data '!B5:B244)=ROW()-46)*'cleaned data '!F5:F244)</f>
        <v>23471.379999999997</v>
      </c>
    </row>
    <row r="51" spans="1:6" x14ac:dyDescent="0.2">
      <c r="B51">
        <v>5</v>
      </c>
      <c r="C51" t="s">
        <v>297</v>
      </c>
      <c r="E51" cm="1">
        <f t="array" ref="E51">SUMPRODUCT((MONTH('cleaned data '!B6:B245)=ROW()-46)*'cleaned data '!F6:F245)</f>
        <v>24209.770000000004</v>
      </c>
    </row>
    <row r="52" spans="1:6" x14ac:dyDescent="0.2">
      <c r="B52">
        <v>6</v>
      </c>
      <c r="C52" t="s">
        <v>298</v>
      </c>
      <c r="E52" cm="1">
        <f t="array" ref="E52">SUMPRODUCT((MONTH('cleaned data '!B7:B246)=ROW()-46)*'cleaned data '!F7:F246)</f>
        <v>36508.49</v>
      </c>
    </row>
    <row r="53" spans="1:6" x14ac:dyDescent="0.2">
      <c r="B53">
        <v>7</v>
      </c>
      <c r="C53" t="s">
        <v>299</v>
      </c>
      <c r="E53" cm="1">
        <f t="array" ref="E53">SUMPRODUCT((MONTH('cleaned data '!B8:B247)=ROW()-46)*'cleaned data '!F8:F247)</f>
        <v>0</v>
      </c>
    </row>
    <row r="54" spans="1:6" x14ac:dyDescent="0.2">
      <c r="B54">
        <v>8</v>
      </c>
      <c r="C54" t="s">
        <v>304</v>
      </c>
      <c r="E54" cm="1">
        <f t="array" ref="E54">SUMPRODUCT((MONTH('cleaned data '!B9:B248)=ROW()-46)*'cleaned data '!F9:F248)</f>
        <v>0</v>
      </c>
    </row>
    <row r="55" spans="1:6" x14ac:dyDescent="0.2">
      <c r="B55">
        <v>9</v>
      </c>
      <c r="C55" t="s">
        <v>303</v>
      </c>
      <c r="E55" cm="1">
        <f t="array" ref="E55">SUMPRODUCT((MONTH('cleaned data '!B10:B249)=ROW()-46)*'cleaned data '!F10:F249)</f>
        <v>0</v>
      </c>
    </row>
    <row r="56" spans="1:6" x14ac:dyDescent="0.2">
      <c r="B56">
        <v>10</v>
      </c>
      <c r="C56" t="s">
        <v>302</v>
      </c>
      <c r="E56" cm="1">
        <f t="array" ref="E56">SUMPRODUCT((MONTH('cleaned data '!B11:B250)=ROW()-46)*'cleaned data '!F11:F250)</f>
        <v>0</v>
      </c>
    </row>
    <row r="57" spans="1:6" x14ac:dyDescent="0.2">
      <c r="B57">
        <v>11</v>
      </c>
      <c r="C57" t="s">
        <v>301</v>
      </c>
      <c r="E57" cm="1">
        <f t="array" ref="E57">SUMPRODUCT((MONTH('cleaned data '!B12:B251)=ROW()-46)*'cleaned data '!F12:F251)</f>
        <v>0</v>
      </c>
    </row>
    <row r="58" spans="1:6" x14ac:dyDescent="0.2">
      <c r="B58">
        <v>12</v>
      </c>
      <c r="C58" t="s">
        <v>300</v>
      </c>
      <c r="E58" cm="1">
        <f t="array" ref="E58">SUMPRODUCT((MONTH('cleaned data '!B13:B252)=ROW()-46)*'cleaned data '!F13:F252)</f>
        <v>0</v>
      </c>
    </row>
    <row r="60" spans="1:6" x14ac:dyDescent="0.2">
      <c r="C60" t="s">
        <v>307</v>
      </c>
      <c r="E60" t="s">
        <v>298</v>
      </c>
      <c r="F60">
        <f>MAX(E47:E52)</f>
        <v>36508.49</v>
      </c>
    </row>
    <row r="61" spans="1:6" x14ac:dyDescent="0.2">
      <c r="C61" t="s">
        <v>308</v>
      </c>
      <c r="E61" t="s">
        <v>305</v>
      </c>
      <c r="F61">
        <f>MIN(E47:E52)</f>
        <v>13788.89</v>
      </c>
    </row>
    <row r="62" spans="1:6" x14ac:dyDescent="0.2">
      <c r="A62">
        <v>7</v>
      </c>
      <c r="B62" t="s">
        <v>309</v>
      </c>
    </row>
    <row r="63" spans="1:6" x14ac:dyDescent="0.2">
      <c r="B63" cm="1">
        <f t="array" ref="B63:B68">_xlfn.SEQUENCE(6,1,1,1)</f>
        <v>1</v>
      </c>
      <c r="C63" t="str" cm="1">
        <f t="array" ref="C63:C68">_xlfn.UNIQUE('cleaned data '!H2:H241)</f>
        <v>Sofia Kowalski</v>
      </c>
      <c r="E63">
        <f>SUMIF('cleaned data '!H2:H241,C63,'cleaned data '!F2:F241)</f>
        <v>24885.19000000001</v>
      </c>
    </row>
    <row r="64" spans="1:6" x14ac:dyDescent="0.2">
      <c r="B64">
        <v>2</v>
      </c>
      <c r="C64" t="str">
        <v>Elena Cohen</v>
      </c>
      <c r="E64">
        <f>SUMIF('cleaned data '!H3:H242,C64,'cleaned data '!F3:F242)</f>
        <v>21737.260000000009</v>
      </c>
    </row>
    <row r="65" spans="1:9" x14ac:dyDescent="0.2">
      <c r="B65">
        <v>3</v>
      </c>
      <c r="C65" t="str">
        <v>Omar Haddad</v>
      </c>
      <c r="E65">
        <f>SUMIF('cleaned data '!H4:H243,C65,'cleaned data '!F4:F243)</f>
        <v>22989.339999999997</v>
      </c>
    </row>
    <row r="66" spans="1:9" x14ac:dyDescent="0.2">
      <c r="B66">
        <v>4</v>
      </c>
      <c r="C66" t="str">
        <v>Tomas Tanaka</v>
      </c>
      <c r="E66">
        <f>SUMIF('cleaned data '!H5:H244,C66,'cleaned data '!F5:F244)</f>
        <v>24112.180000000004</v>
      </c>
    </row>
    <row r="67" spans="1:9" x14ac:dyDescent="0.2">
      <c r="B67">
        <v>5</v>
      </c>
      <c r="C67" t="str">
        <v>Priya Herrera</v>
      </c>
      <c r="E67">
        <f>SUMIF('cleaned data '!H6:H245,C67,'cleaned data '!F6:F245)</f>
        <v>28195.51</v>
      </c>
    </row>
    <row r="68" spans="1:9" x14ac:dyDescent="0.2">
      <c r="B68">
        <v>6</v>
      </c>
      <c r="C68" t="str">
        <v>Chen Bennett</v>
      </c>
      <c r="E68">
        <f>SUMIF('cleaned data '!H7:H246,C68,'cleaned data '!F7:F246)</f>
        <v>20517.659999999993</v>
      </c>
    </row>
    <row r="70" spans="1:9" x14ac:dyDescent="0.2">
      <c r="C70" t="s">
        <v>312</v>
      </c>
      <c r="E70" t="s">
        <v>321</v>
      </c>
      <c r="F70">
        <f>MAX(E63:E68)</f>
        <v>28195.51</v>
      </c>
    </row>
    <row r="71" spans="1:9" x14ac:dyDescent="0.2">
      <c r="C71" t="s">
        <v>313</v>
      </c>
      <c r="E71" t="str">
        <f>INDEX(C63:C69,MATCH(MIN(E63:E68),E63:E68,0))</f>
        <v>Chen Bennett</v>
      </c>
      <c r="F71">
        <f>MIN(E63:E68)</f>
        <v>20517.659999999993</v>
      </c>
    </row>
    <row r="75" spans="1:9" x14ac:dyDescent="0.2">
      <c r="A75" s="13" t="s">
        <v>314</v>
      </c>
      <c r="B75" s="13"/>
      <c r="C75" s="13"/>
      <c r="D75" s="13"/>
      <c r="E75" s="13"/>
      <c r="F75" s="13"/>
      <c r="G75" s="13"/>
      <c r="H75" s="13"/>
      <c r="I75" s="13"/>
    </row>
    <row r="76" spans="1:9" x14ac:dyDescent="0.2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">
      <c r="A77" s="13"/>
      <c r="B77" s="13"/>
      <c r="C77" s="13"/>
      <c r="D77" s="13"/>
      <c r="E77" s="13"/>
      <c r="F77" s="13"/>
      <c r="G77" s="13"/>
      <c r="H77" s="13"/>
      <c r="I77" s="13"/>
    </row>
    <row r="79" spans="1:9" x14ac:dyDescent="0.2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2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2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2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2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2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2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2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2">
      <c r="A87" s="9"/>
      <c r="B87" s="9"/>
      <c r="C87" s="9"/>
      <c r="D87" s="9"/>
      <c r="E87" s="9"/>
      <c r="F87" s="9"/>
      <c r="G87" s="9"/>
      <c r="H87" s="9"/>
      <c r="I87" s="9"/>
    </row>
    <row r="88" spans="1:9" x14ac:dyDescent="0.2">
      <c r="A88" s="9"/>
      <c r="B88" s="9"/>
      <c r="C88" s="9"/>
      <c r="D88" s="9"/>
      <c r="E88" s="9"/>
      <c r="F88" s="9"/>
      <c r="G88" s="9"/>
      <c r="H88" s="9"/>
      <c r="I88" s="9"/>
    </row>
    <row r="89" spans="1:9" x14ac:dyDescent="0.2">
      <c r="A89" s="9"/>
      <c r="B89" s="9"/>
      <c r="C89" s="9"/>
      <c r="D89" s="9"/>
      <c r="E89" s="9"/>
      <c r="F89" s="9"/>
      <c r="G89" s="9"/>
      <c r="H89" s="9"/>
      <c r="I89" s="9"/>
    </row>
    <row r="90" spans="1:9" x14ac:dyDescent="0.2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2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2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2">
      <c r="A93" s="9"/>
      <c r="B93" s="9"/>
      <c r="C93" s="9"/>
      <c r="D93" s="9"/>
      <c r="E93" s="9"/>
      <c r="F93" s="9"/>
      <c r="G93" s="9"/>
      <c r="H93" s="9"/>
      <c r="I93" s="9"/>
    </row>
    <row r="95" spans="1:9" ht="15" customHeight="1" x14ac:dyDescent="0.2">
      <c r="A95" s="12" t="s">
        <v>315</v>
      </c>
      <c r="B95" s="12"/>
      <c r="C95" s="12"/>
      <c r="D95" s="12"/>
      <c r="E95" s="12"/>
      <c r="F95" s="12"/>
      <c r="G95" s="12"/>
      <c r="H95" s="12"/>
      <c r="I95" s="12"/>
    </row>
    <row r="96" spans="1:9" ht="1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</row>
    <row r="97" spans="1:14" ht="1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</row>
    <row r="99" spans="1:14" x14ac:dyDescent="0.2">
      <c r="A99" s="9"/>
      <c r="B99" s="9"/>
      <c r="C99" s="9"/>
      <c r="D99" s="9"/>
      <c r="E99" s="9"/>
      <c r="F99" s="9"/>
      <c r="G99" s="9"/>
      <c r="H99" s="9"/>
      <c r="I99" s="9"/>
      <c r="J99" s="3"/>
      <c r="K99" s="3"/>
      <c r="L99" s="3"/>
      <c r="M99" s="3"/>
      <c r="N99" s="3"/>
    </row>
    <row r="100" spans="1:14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3"/>
      <c r="K100" s="3"/>
      <c r="L100" s="3"/>
      <c r="M100" s="3"/>
      <c r="N100" s="3"/>
    </row>
    <row r="101" spans="1:14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3"/>
      <c r="K101" s="3"/>
      <c r="L101" s="3"/>
      <c r="M101" s="3"/>
      <c r="N101" s="3"/>
    </row>
    <row r="102" spans="1:14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3"/>
      <c r="K102" s="3"/>
      <c r="L102" s="3"/>
      <c r="M102" s="3"/>
      <c r="N102" s="3"/>
    </row>
    <row r="103" spans="1:14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3"/>
      <c r="K103" s="3"/>
      <c r="L103" s="3"/>
      <c r="M103" s="3"/>
      <c r="N103" s="3"/>
    </row>
    <row r="104" spans="1:14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3"/>
      <c r="K104" s="3"/>
      <c r="L104" s="3"/>
      <c r="M104" s="3"/>
      <c r="N104" s="3"/>
    </row>
    <row r="105" spans="1:14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3"/>
      <c r="K105" s="3"/>
      <c r="L105" s="3"/>
      <c r="M105" s="3"/>
      <c r="N105" s="3"/>
    </row>
    <row r="106" spans="1:14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3"/>
      <c r="K106" s="3"/>
      <c r="L106" s="3"/>
      <c r="M106" s="3"/>
      <c r="N106" s="3"/>
    </row>
    <row r="107" spans="1:14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3"/>
      <c r="K107" s="3"/>
      <c r="L107" s="3"/>
      <c r="M107" s="3"/>
      <c r="N107" s="3"/>
    </row>
    <row r="108" spans="1:14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3"/>
      <c r="K108" s="3"/>
      <c r="L108" s="3"/>
      <c r="M108" s="3"/>
      <c r="N108" s="3"/>
    </row>
    <row r="109" spans="1:14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3"/>
      <c r="K109" s="3"/>
      <c r="L109" s="3"/>
      <c r="M109" s="3"/>
      <c r="N109" s="3"/>
    </row>
    <row r="110" spans="1:14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3"/>
      <c r="K110" s="3"/>
      <c r="L110" s="3"/>
      <c r="M110" s="3"/>
      <c r="N110" s="3"/>
    </row>
    <row r="111" spans="1:14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3"/>
      <c r="K111" s="3"/>
      <c r="L111" s="3"/>
      <c r="M111" s="3"/>
      <c r="N111" s="3"/>
    </row>
    <row r="112" spans="1:14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3"/>
      <c r="K112" s="3"/>
      <c r="L112" s="3"/>
      <c r="M112" s="3"/>
      <c r="N112" s="3"/>
    </row>
    <row r="113" spans="1:14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3"/>
      <c r="K113" s="3"/>
      <c r="L113" s="3"/>
      <c r="M113" s="3"/>
      <c r="N113" s="3"/>
    </row>
    <row r="116" spans="1:14" ht="15" customHeight="1" x14ac:dyDescent="0.2">
      <c r="A116" s="8" t="s">
        <v>316</v>
      </c>
      <c r="B116" s="8"/>
      <c r="C116" s="8"/>
      <c r="D116" s="8"/>
      <c r="E116" s="8"/>
      <c r="F116" s="8"/>
      <c r="G116" s="8"/>
      <c r="H116" s="8"/>
      <c r="I116" s="8"/>
    </row>
    <row r="117" spans="1:14" ht="1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</row>
    <row r="118" spans="1:14" ht="1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</row>
    <row r="120" spans="1:14" x14ac:dyDescent="0.2">
      <c r="A120" s="9"/>
      <c r="B120" s="9"/>
      <c r="C120" s="9"/>
      <c r="D120" s="9"/>
      <c r="E120" s="9"/>
      <c r="F120" s="9"/>
      <c r="G120" s="9"/>
      <c r="H120" s="9"/>
      <c r="I120" s="9"/>
    </row>
    <row r="121" spans="1:14" x14ac:dyDescent="0.2">
      <c r="A121" s="9"/>
      <c r="B121" s="9"/>
      <c r="C121" s="9"/>
      <c r="D121" s="9"/>
      <c r="E121" s="9"/>
      <c r="F121" s="9"/>
      <c r="G121" s="9"/>
      <c r="H121" s="9"/>
      <c r="I121" s="9"/>
    </row>
    <row r="122" spans="1:14" x14ac:dyDescent="0.2">
      <c r="A122" s="9"/>
      <c r="B122" s="9"/>
      <c r="C122" s="9"/>
      <c r="D122" s="9"/>
      <c r="E122" s="9"/>
      <c r="F122" s="9"/>
      <c r="G122" s="9"/>
      <c r="H122" s="9"/>
      <c r="I122" s="9"/>
    </row>
    <row r="123" spans="1:14" x14ac:dyDescent="0.2">
      <c r="A123" s="9"/>
      <c r="B123" s="9"/>
      <c r="C123" s="9"/>
      <c r="D123" s="9"/>
      <c r="E123" s="9"/>
      <c r="F123" s="9"/>
      <c r="G123" s="9"/>
      <c r="H123" s="9"/>
      <c r="I123" s="9"/>
    </row>
    <row r="124" spans="1:14" x14ac:dyDescent="0.2">
      <c r="A124" s="9"/>
      <c r="B124" s="9"/>
      <c r="C124" s="9"/>
      <c r="D124" s="9"/>
      <c r="E124" s="9"/>
      <c r="F124" s="9"/>
      <c r="G124" s="9"/>
      <c r="H124" s="9"/>
      <c r="I124" s="9"/>
    </row>
    <row r="125" spans="1:14" x14ac:dyDescent="0.2">
      <c r="A125" s="9"/>
      <c r="B125" s="9"/>
      <c r="C125" s="9"/>
      <c r="D125" s="9"/>
      <c r="E125" s="9"/>
      <c r="F125" s="9"/>
      <c r="G125" s="9"/>
      <c r="H125" s="9"/>
      <c r="I125" s="9"/>
    </row>
    <row r="126" spans="1:14" x14ac:dyDescent="0.2">
      <c r="A126" s="9"/>
      <c r="B126" s="9"/>
      <c r="C126" s="9"/>
      <c r="D126" s="9"/>
      <c r="E126" s="9"/>
      <c r="F126" s="9"/>
      <c r="G126" s="9"/>
      <c r="H126" s="9"/>
      <c r="I126" s="9"/>
    </row>
    <row r="127" spans="1:14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14" x14ac:dyDescent="0.2">
      <c r="A128" s="9"/>
      <c r="B128" s="9"/>
      <c r="C128" s="9"/>
      <c r="D128" s="9"/>
      <c r="E128" s="9"/>
      <c r="F128" s="9"/>
      <c r="G128" s="9"/>
      <c r="H128" s="9"/>
      <c r="I128" s="9"/>
    </row>
    <row r="129" spans="1:9" x14ac:dyDescent="0.2">
      <c r="A129" s="9"/>
      <c r="B129" s="9"/>
      <c r="C129" s="9"/>
      <c r="D129" s="9"/>
      <c r="E129" s="9"/>
      <c r="F129" s="9"/>
      <c r="G129" s="9"/>
      <c r="H129" s="9"/>
      <c r="I129" s="9"/>
    </row>
    <row r="130" spans="1:9" x14ac:dyDescent="0.2">
      <c r="A130" s="9"/>
      <c r="B130" s="9"/>
      <c r="C130" s="9"/>
      <c r="D130" s="9"/>
      <c r="E130" s="9"/>
      <c r="F130" s="9"/>
      <c r="G130" s="9"/>
      <c r="H130" s="9"/>
      <c r="I130" s="9"/>
    </row>
    <row r="131" spans="1:9" x14ac:dyDescent="0.2">
      <c r="A131" s="9"/>
      <c r="B131" s="9"/>
      <c r="C131" s="9"/>
      <c r="D131" s="9"/>
      <c r="E131" s="9"/>
      <c r="F131" s="9"/>
      <c r="G131" s="9"/>
      <c r="H131" s="9"/>
      <c r="I131" s="9"/>
    </row>
    <row r="132" spans="1:9" x14ac:dyDescent="0.2">
      <c r="A132" s="9"/>
      <c r="B132" s="9"/>
      <c r="C132" s="9"/>
      <c r="D132" s="9"/>
      <c r="E132" s="9"/>
      <c r="F132" s="9"/>
      <c r="G132" s="9"/>
      <c r="H132" s="9"/>
      <c r="I132" s="9"/>
    </row>
    <row r="133" spans="1:9" x14ac:dyDescent="0.2">
      <c r="A133" s="9"/>
      <c r="B133" s="9"/>
      <c r="C133" s="9"/>
      <c r="D133" s="9"/>
      <c r="E133" s="9"/>
      <c r="F133" s="9"/>
      <c r="G133" s="9"/>
      <c r="H133" s="9"/>
      <c r="I133" s="9"/>
    </row>
    <row r="134" spans="1:9" x14ac:dyDescent="0.2">
      <c r="A134" s="9"/>
      <c r="B134" s="9"/>
      <c r="C134" s="9"/>
      <c r="D134" s="9"/>
      <c r="E134" s="9"/>
      <c r="F134" s="9"/>
      <c r="G134" s="9"/>
      <c r="H134" s="9"/>
      <c r="I134" s="9"/>
    </row>
    <row r="137" spans="1:9" x14ac:dyDescent="0.2">
      <c r="A137" s="8" t="s">
        <v>317</v>
      </c>
      <c r="B137" s="8"/>
      <c r="C137" s="8"/>
      <c r="D137" s="8"/>
      <c r="E137" s="8"/>
      <c r="F137" s="8"/>
      <c r="G137" s="8"/>
      <c r="H137" s="8"/>
      <c r="I137" s="8"/>
    </row>
    <row r="138" spans="1:9" x14ac:dyDescent="0.2">
      <c r="A138" s="8"/>
      <c r="B138" s="8"/>
      <c r="C138" s="8"/>
      <c r="D138" s="8"/>
      <c r="E138" s="8"/>
      <c r="F138" s="8"/>
      <c r="G138" s="8"/>
      <c r="H138" s="8"/>
      <c r="I138" s="8"/>
    </row>
    <row r="139" spans="1:9" x14ac:dyDescent="0.2">
      <c r="A139" s="8"/>
      <c r="B139" s="8"/>
      <c r="C139" s="8"/>
      <c r="D139" s="8"/>
      <c r="E139" s="8"/>
      <c r="F139" s="8"/>
      <c r="G139" s="8"/>
      <c r="H139" s="8"/>
      <c r="I139" s="8"/>
    </row>
    <row r="141" spans="1:9" x14ac:dyDescent="0.2">
      <c r="A141" s="9"/>
      <c r="B141" s="9"/>
      <c r="C141" s="9"/>
      <c r="D141" s="9"/>
      <c r="E141" s="9"/>
      <c r="F141" s="9"/>
      <c r="G141" s="9"/>
      <c r="H141" s="9"/>
      <c r="I141" s="9"/>
    </row>
    <row r="142" spans="1:9" x14ac:dyDescent="0.2">
      <c r="A142" s="9"/>
      <c r="B142" s="9"/>
      <c r="C142" s="9"/>
      <c r="D142" s="9"/>
      <c r="E142" s="9"/>
      <c r="F142" s="9"/>
      <c r="G142" s="9"/>
      <c r="H142" s="9"/>
      <c r="I142" s="9"/>
    </row>
    <row r="143" spans="1:9" x14ac:dyDescent="0.2">
      <c r="A143" s="9"/>
      <c r="B143" s="9"/>
      <c r="C143" s="9"/>
      <c r="D143" s="9"/>
      <c r="E143" s="9"/>
      <c r="F143" s="9"/>
      <c r="G143" s="9"/>
      <c r="H143" s="9"/>
      <c r="I143" s="9"/>
    </row>
    <row r="144" spans="1:9" x14ac:dyDescent="0.2">
      <c r="A144" s="9"/>
      <c r="B144" s="9"/>
      <c r="C144" s="9"/>
      <c r="D144" s="9"/>
      <c r="E144" s="9"/>
      <c r="F144" s="9"/>
      <c r="G144" s="9"/>
      <c r="H144" s="9"/>
      <c r="I144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61" spans="1:9" x14ac:dyDescent="0.2">
      <c r="A161" s="10" t="s">
        <v>318</v>
      </c>
      <c r="B161" s="10"/>
      <c r="C161" s="10"/>
      <c r="D161" s="10"/>
      <c r="E161" s="10"/>
      <c r="F161" s="10"/>
      <c r="G161" s="10"/>
      <c r="H161" s="10"/>
      <c r="I161" s="10"/>
    </row>
    <row r="162" spans="1:9" x14ac:dyDescent="0.2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ht="15" customHeight="1" x14ac:dyDescent="0.2">
      <c r="A167" s="11" t="s">
        <v>319</v>
      </c>
      <c r="B167" s="11"/>
      <c r="C167" s="11"/>
      <c r="D167" s="11"/>
      <c r="E167" s="11"/>
      <c r="F167" s="11"/>
      <c r="G167" s="11"/>
      <c r="H167" s="11"/>
      <c r="I167" s="11"/>
    </row>
    <row r="168" spans="1:9" ht="1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ht="1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ht="1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ht="1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ht="1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ht="1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ht="1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ht="1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ht="1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ht="1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ht="1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ht="1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ht="15" customHeight="1" x14ac:dyDescent="0.2">
      <c r="A180" s="11" t="s">
        <v>320</v>
      </c>
      <c r="B180" s="11"/>
      <c r="C180" s="11"/>
      <c r="D180" s="11"/>
      <c r="E180" s="11"/>
      <c r="F180" s="11"/>
      <c r="G180" s="11"/>
      <c r="H180" s="11"/>
      <c r="I180" s="11"/>
    </row>
    <row r="181" spans="1:9" ht="1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ht="1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ht="1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ht="1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ht="1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ht="1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1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1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1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1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</row>
    <row r="191" spans="1:9" x14ac:dyDescent="0.2">
      <c r="A191" s="6"/>
    </row>
  </sheetData>
  <mergeCells count="16">
    <mergeCell ref="B23:D23"/>
    <mergeCell ref="A1:J3"/>
    <mergeCell ref="B18:E19"/>
    <mergeCell ref="B20:D20"/>
    <mergeCell ref="B21:D21"/>
    <mergeCell ref="A120:I134"/>
    <mergeCell ref="A116:I118"/>
    <mergeCell ref="A95:I97"/>
    <mergeCell ref="A99:I113"/>
    <mergeCell ref="A75:I77"/>
    <mergeCell ref="A79:I93"/>
    <mergeCell ref="A137:I139"/>
    <mergeCell ref="A141:I155"/>
    <mergeCell ref="A161:I166"/>
    <mergeCell ref="A167:I179"/>
    <mergeCell ref="A180:I185"/>
  </mergeCells>
  <phoneticPr fontId="20" alignment="center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 </vt:lpstr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Shafna KS</dc:creator>
  <cp:lastModifiedBy>X</cp:lastModifiedBy>
  <dcterms:created xsi:type="dcterms:W3CDTF">2026-10-04T09:41:41Z</dcterms:created>
  <dcterms:modified xsi:type="dcterms:W3CDTF">2026-10-04T09:41:41Z</dcterms:modified>
</cp:coreProperties>
</file>